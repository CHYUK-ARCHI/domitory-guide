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hanhyuk.kwon\Downloads\"/>
    </mc:Choice>
  </mc:AlternateContent>
  <xr:revisionPtr revIDLastSave="0" documentId="13_ncr:1_{C96FFC4B-6200-48CC-A492-31B474C371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ADME" sheetId="1" r:id="rId1"/>
    <sheet name="INPUTS" sheetId="2" r:id="rId2"/>
    <sheet name="MODULES" sheetId="3" r:id="rId3"/>
    <sheet name="RULES_RECOMM" sheetId="4" r:id="rId4"/>
    <sheet name="RULES_BASIC" sheetId="5" r:id="rId5"/>
    <sheet name="CALC" sheetId="6" r:id="rId6"/>
    <sheet name="LOOKUP" sheetId="7" r:id="rId7"/>
  </sheets>
  <calcPr calcId="181029"/>
</workbook>
</file>

<file path=xl/calcChain.xml><?xml version="1.0" encoding="utf-8"?>
<calcChain xmlns="http://schemas.openxmlformats.org/spreadsheetml/2006/main">
  <c r="O33" i="7" l="1"/>
  <c r="N33" i="7"/>
  <c r="M33" i="7"/>
  <c r="L33" i="7"/>
  <c r="K33" i="7"/>
  <c r="J33" i="7"/>
  <c r="I33" i="7"/>
  <c r="H33" i="7"/>
  <c r="G33" i="7"/>
  <c r="F33" i="7"/>
  <c r="E33" i="7"/>
  <c r="D33" i="7"/>
  <c r="C33" i="7"/>
  <c r="P33" i="7" s="1"/>
  <c r="Q33" i="7" s="1"/>
  <c r="O32" i="7"/>
  <c r="N32" i="7"/>
  <c r="M32" i="7"/>
  <c r="L32" i="7"/>
  <c r="K32" i="7"/>
  <c r="J32" i="7"/>
  <c r="I32" i="7"/>
  <c r="H32" i="7"/>
  <c r="G32" i="7"/>
  <c r="F32" i="7"/>
  <c r="E32" i="7"/>
  <c r="D32" i="7"/>
  <c r="P32" i="7" s="1"/>
  <c r="Q32" i="7" s="1"/>
  <c r="C32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P31" i="7" s="1"/>
  <c r="Q31" i="7" s="1"/>
  <c r="O30" i="7"/>
  <c r="N30" i="7"/>
  <c r="M30" i="7"/>
  <c r="L30" i="7"/>
  <c r="K30" i="7"/>
  <c r="J30" i="7"/>
  <c r="I30" i="7"/>
  <c r="H30" i="7"/>
  <c r="G30" i="7"/>
  <c r="F30" i="7"/>
  <c r="P30" i="7" s="1"/>
  <c r="Q30" i="7" s="1"/>
  <c r="E30" i="7"/>
  <c r="D30" i="7"/>
  <c r="C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P29" i="7" s="1"/>
  <c r="Q29" i="7" s="1"/>
  <c r="O28" i="7"/>
  <c r="N28" i="7"/>
  <c r="M28" i="7"/>
  <c r="L28" i="7"/>
  <c r="K28" i="7"/>
  <c r="J28" i="7"/>
  <c r="I28" i="7"/>
  <c r="H28" i="7"/>
  <c r="P28" i="7" s="1"/>
  <c r="Q28" i="7" s="1"/>
  <c r="G28" i="7"/>
  <c r="F28" i="7"/>
  <c r="E28" i="7"/>
  <c r="D28" i="7"/>
  <c r="C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P27" i="7" s="1"/>
  <c r="Q27" i="7" s="1"/>
  <c r="O26" i="7"/>
  <c r="N26" i="7"/>
  <c r="M26" i="7"/>
  <c r="L26" i="7"/>
  <c r="K26" i="7"/>
  <c r="J26" i="7"/>
  <c r="P26" i="7" s="1"/>
  <c r="Q26" i="7" s="1"/>
  <c r="I26" i="7"/>
  <c r="H26" i="7"/>
  <c r="G26" i="7"/>
  <c r="F26" i="7"/>
  <c r="E26" i="7"/>
  <c r="D26" i="7"/>
  <c r="C26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P25" i="7" s="1"/>
  <c r="Q25" i="7" s="1"/>
  <c r="O24" i="7"/>
  <c r="N24" i="7"/>
  <c r="M24" i="7"/>
  <c r="P24" i="7" s="1"/>
  <c r="Q24" i="7" s="1"/>
  <c r="L24" i="7"/>
  <c r="K24" i="7"/>
  <c r="J24" i="7"/>
  <c r="I24" i="7"/>
  <c r="H24" i="7"/>
  <c r="G24" i="7"/>
  <c r="F24" i="7"/>
  <c r="E24" i="7"/>
  <c r="D24" i="7"/>
  <c r="C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P23" i="7" s="1"/>
  <c r="Q23" i="7" s="1"/>
  <c r="O22" i="7"/>
  <c r="P22" i="7" s="1"/>
  <c r="Q22" i="7" s="1"/>
  <c r="N22" i="7"/>
  <c r="M22" i="7"/>
  <c r="L22" i="7"/>
  <c r="K22" i="7"/>
  <c r="J22" i="7"/>
  <c r="I22" i="7"/>
  <c r="H22" i="7"/>
  <c r="G22" i="7"/>
  <c r="F22" i="7"/>
  <c r="E22" i="7"/>
  <c r="D22" i="7"/>
  <c r="C22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P21" i="7" s="1"/>
  <c r="Q21" i="7" s="1"/>
  <c r="Q20" i="7"/>
  <c r="S20" i="7" s="1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P17" i="7" s="1"/>
  <c r="Q17" i="7" s="1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P16" i="7" s="1"/>
  <c r="Q16" i="7" s="1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P15" i="7" s="1"/>
  <c r="Q15" i="7" s="1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P14" i="7" s="1"/>
  <c r="Q14" i="7" s="1"/>
  <c r="O13" i="7"/>
  <c r="N13" i="7"/>
  <c r="M13" i="7"/>
  <c r="L13" i="7"/>
  <c r="K13" i="7"/>
  <c r="J13" i="7"/>
  <c r="I13" i="7"/>
  <c r="H13" i="7"/>
  <c r="G13" i="7"/>
  <c r="F13" i="7"/>
  <c r="E13" i="7"/>
  <c r="P13" i="7" s="1"/>
  <c r="Q13" i="7" s="1"/>
  <c r="D13" i="7"/>
  <c r="C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P12" i="7" s="1"/>
  <c r="Q12" i="7" s="1"/>
  <c r="O11" i="7"/>
  <c r="N11" i="7"/>
  <c r="M11" i="7"/>
  <c r="L11" i="7"/>
  <c r="K11" i="7"/>
  <c r="J11" i="7"/>
  <c r="I11" i="7"/>
  <c r="H11" i="7"/>
  <c r="G11" i="7"/>
  <c r="P11" i="7" s="1"/>
  <c r="Q11" i="7" s="1"/>
  <c r="F11" i="7"/>
  <c r="E11" i="7"/>
  <c r="D11" i="7"/>
  <c r="C11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P10" i="7" s="1"/>
  <c r="Q10" i="7" s="1"/>
  <c r="O9" i="7"/>
  <c r="N9" i="7"/>
  <c r="M9" i="7"/>
  <c r="L9" i="7"/>
  <c r="K9" i="7"/>
  <c r="J9" i="7"/>
  <c r="I9" i="7"/>
  <c r="P9" i="7" s="1"/>
  <c r="Q9" i="7" s="1"/>
  <c r="H9" i="7"/>
  <c r="G9" i="7"/>
  <c r="F9" i="7"/>
  <c r="E9" i="7"/>
  <c r="D9" i="7"/>
  <c r="C9" i="7"/>
  <c r="O8" i="7"/>
  <c r="N8" i="7"/>
  <c r="M8" i="7"/>
  <c r="L8" i="7"/>
  <c r="K8" i="7"/>
  <c r="J8" i="7"/>
  <c r="I8" i="7"/>
  <c r="H8" i="7"/>
  <c r="G8" i="7"/>
  <c r="F8" i="7"/>
  <c r="E8" i="7"/>
  <c r="D8" i="7"/>
  <c r="C8" i="7"/>
  <c r="P8" i="7" s="1"/>
  <c r="Q8" i="7" s="1"/>
  <c r="O7" i="7"/>
  <c r="N7" i="7"/>
  <c r="M7" i="7"/>
  <c r="L7" i="7"/>
  <c r="K7" i="7"/>
  <c r="P7" i="7" s="1"/>
  <c r="Q7" i="7" s="1"/>
  <c r="J7" i="7"/>
  <c r="I7" i="7"/>
  <c r="H7" i="7"/>
  <c r="G7" i="7"/>
  <c r="F7" i="7"/>
  <c r="E7" i="7"/>
  <c r="D7" i="7"/>
  <c r="C7" i="7"/>
  <c r="O6" i="7"/>
  <c r="N6" i="7"/>
  <c r="M6" i="7"/>
  <c r="L6" i="7"/>
  <c r="K6" i="7"/>
  <c r="J6" i="7"/>
  <c r="I6" i="7"/>
  <c r="H6" i="7"/>
  <c r="G6" i="7"/>
  <c r="F6" i="7"/>
  <c r="E6" i="7"/>
  <c r="D6" i="7"/>
  <c r="C6" i="7"/>
  <c r="P6" i="7" s="1"/>
  <c r="Q6" i="7" s="1"/>
  <c r="O5" i="7"/>
  <c r="N5" i="7"/>
  <c r="P5" i="7" s="1"/>
  <c r="Q5" i="7" s="1"/>
  <c r="M5" i="7"/>
  <c r="L5" i="7"/>
  <c r="K5" i="7"/>
  <c r="J5" i="7"/>
  <c r="I5" i="7"/>
  <c r="H5" i="7"/>
  <c r="G5" i="7"/>
  <c r="F5" i="7"/>
  <c r="E5" i="7"/>
  <c r="D5" i="7"/>
  <c r="C5" i="7"/>
  <c r="O4" i="7"/>
  <c r="N4" i="7"/>
  <c r="M4" i="7"/>
  <c r="L4" i="7"/>
  <c r="K4" i="7"/>
  <c r="J4" i="7"/>
  <c r="I4" i="7"/>
  <c r="H4" i="7"/>
  <c r="G4" i="7"/>
  <c r="F4" i="7"/>
  <c r="E4" i="7"/>
  <c r="D4" i="7"/>
  <c r="C4" i="7"/>
  <c r="P4" i="7" s="1"/>
  <c r="Q4" i="7" s="1"/>
  <c r="C46" i="6"/>
  <c r="C45" i="6"/>
  <c r="I22" i="6"/>
  <c r="H22" i="6"/>
  <c r="D22" i="6"/>
  <c r="C22" i="6"/>
  <c r="I21" i="6"/>
  <c r="H21" i="6"/>
  <c r="D21" i="6"/>
  <c r="C21" i="6"/>
  <c r="I20" i="6"/>
  <c r="H20" i="6"/>
  <c r="D20" i="6"/>
  <c r="C20" i="6"/>
  <c r="I19" i="6"/>
  <c r="I10" i="6"/>
  <c r="B4" i="6"/>
  <c r="B3" i="6"/>
  <c r="C44" i="6" s="1"/>
  <c r="H16" i="5"/>
  <c r="G16" i="5"/>
  <c r="H15" i="5"/>
  <c r="G15" i="5"/>
  <c r="H14" i="5"/>
  <c r="G14" i="5"/>
  <c r="H13" i="5"/>
  <c r="G13" i="5"/>
  <c r="H19" i="6" s="1"/>
  <c r="H12" i="5"/>
  <c r="I18" i="6" s="1"/>
  <c r="G12" i="5"/>
  <c r="H18" i="6" s="1"/>
  <c r="H11" i="5"/>
  <c r="I17" i="6" s="1"/>
  <c r="G11" i="5"/>
  <c r="H17" i="6" s="1"/>
  <c r="H10" i="5"/>
  <c r="I16" i="6" s="1"/>
  <c r="G10" i="5"/>
  <c r="H16" i="6" s="1"/>
  <c r="G6" i="5"/>
  <c r="H12" i="6" s="1"/>
  <c r="H4" i="5"/>
  <c r="G4" i="5"/>
  <c r="H10" i="6" s="1"/>
  <c r="H16" i="4"/>
  <c r="G16" i="4"/>
  <c r="H15" i="4"/>
  <c r="G15" i="4"/>
  <c r="H14" i="4"/>
  <c r="G14" i="4"/>
  <c r="H13" i="4"/>
  <c r="D19" i="6" s="1"/>
  <c r="G13" i="4"/>
  <c r="C19" i="6" s="1"/>
  <c r="H12" i="4"/>
  <c r="D18" i="6" s="1"/>
  <c r="G12" i="4"/>
  <c r="C18" i="6" s="1"/>
  <c r="H11" i="4"/>
  <c r="D17" i="6" s="1"/>
  <c r="G11" i="4"/>
  <c r="C17" i="6" s="1"/>
  <c r="H10" i="4"/>
  <c r="D16" i="6" s="1"/>
  <c r="G10" i="4"/>
  <c r="C16" i="6" s="1"/>
  <c r="H4" i="4"/>
  <c r="D10" i="6" s="1"/>
  <c r="G4" i="4"/>
  <c r="C10" i="6" s="1"/>
  <c r="B5" i="2"/>
  <c r="H5" i="5" s="1"/>
  <c r="I11" i="6" s="1"/>
  <c r="S15" i="7" l="1"/>
  <c r="R15" i="7"/>
  <c r="S24" i="7"/>
  <c r="R24" i="7"/>
  <c r="R6" i="7"/>
  <c r="S6" i="7"/>
  <c r="R5" i="7"/>
  <c r="S5" i="7"/>
  <c r="S25" i="7"/>
  <c r="R25" i="7"/>
  <c r="R16" i="7"/>
  <c r="S16" i="7"/>
  <c r="S22" i="7"/>
  <c r="R22" i="7"/>
  <c r="S31" i="7"/>
  <c r="R31" i="7"/>
  <c r="R13" i="7"/>
  <c r="S13" i="7"/>
  <c r="S11" i="7"/>
  <c r="R11" i="7"/>
  <c r="S4" i="7"/>
  <c r="R4" i="7"/>
  <c r="R9" i="7"/>
  <c r="S9" i="7"/>
  <c r="S17" i="7"/>
  <c r="R17" i="7"/>
  <c r="R7" i="7"/>
  <c r="S7" i="7"/>
  <c r="S27" i="7"/>
  <c r="R27" i="7"/>
  <c r="R30" i="7"/>
  <c r="S30" i="7"/>
  <c r="R23" i="7"/>
  <c r="S23" i="7"/>
  <c r="S14" i="7"/>
  <c r="R14" i="7"/>
  <c r="S21" i="7"/>
  <c r="R21" i="7"/>
  <c r="R12" i="7"/>
  <c r="S12" i="7"/>
  <c r="S10" i="7"/>
  <c r="R10" i="7"/>
  <c r="R8" i="7"/>
  <c r="S8" i="7"/>
  <c r="S32" i="7"/>
  <c r="R32" i="7"/>
  <c r="S33" i="7"/>
  <c r="R33" i="7"/>
  <c r="S28" i="7"/>
  <c r="R28" i="7"/>
  <c r="R26" i="7"/>
  <c r="S26" i="7"/>
  <c r="S29" i="7"/>
  <c r="R29" i="7"/>
  <c r="H6" i="5"/>
  <c r="I12" i="6" s="1"/>
  <c r="H7" i="5"/>
  <c r="I13" i="6" s="1"/>
  <c r="H8" i="5"/>
  <c r="I14" i="6" s="1"/>
  <c r="G9" i="5"/>
  <c r="H15" i="6" s="1"/>
  <c r="G9" i="4"/>
  <c r="C15" i="6" s="1"/>
  <c r="C36" i="6"/>
  <c r="G8" i="4"/>
  <c r="C14" i="6" s="1"/>
  <c r="C38" i="6"/>
  <c r="G7" i="5"/>
  <c r="H13" i="6" s="1"/>
  <c r="R20" i="7"/>
  <c r="H7" i="4"/>
  <c r="D13" i="6" s="1"/>
  <c r="C37" i="6" s="1"/>
  <c r="H5" i="4"/>
  <c r="D11" i="6" s="1"/>
  <c r="C35" i="6" s="1"/>
  <c r="G7" i="4"/>
  <c r="C13" i="6" s="1"/>
  <c r="B5" i="6"/>
  <c r="C40" i="6"/>
  <c r="H6" i="4"/>
  <c r="D12" i="6" s="1"/>
  <c r="C34" i="6"/>
  <c r="C42" i="6"/>
  <c r="G5" i="4"/>
  <c r="C11" i="6" s="1"/>
  <c r="C41" i="6"/>
  <c r="G5" i="5"/>
  <c r="H11" i="6" s="1"/>
  <c r="C43" i="6"/>
  <c r="G8" i="5"/>
  <c r="H14" i="6" s="1"/>
  <c r="G6" i="4"/>
  <c r="C12" i="6" s="1"/>
  <c r="H9" i="5"/>
  <c r="I15" i="6" s="1"/>
  <c r="H8" i="4"/>
  <c r="D14" i="6" s="1"/>
  <c r="H9" i="4"/>
  <c r="D15" i="6" s="1"/>
  <c r="C39" i="6" s="1"/>
  <c r="D24" i="6" l="1"/>
  <c r="D25" i="6" s="1"/>
  <c r="I24" i="6"/>
  <c r="I25" i="6" s="1"/>
  <c r="I26" i="6"/>
  <c r="I27" i="6"/>
  <c r="D27" i="6"/>
  <c r="C50" i="6" s="1"/>
  <c r="C49" i="6"/>
  <c r="D26" i="6"/>
  <c r="C47" i="6" s="1"/>
</calcChain>
</file>

<file path=xl/sharedStrings.xml><?xml version="1.0" encoding="utf-8"?>
<sst xmlns="http://schemas.openxmlformats.org/spreadsheetml/2006/main" count="378" uniqueCount="96">
  <si>
    <t>TR-2024-01 생활관 면적산정 엑셀 템플릿 (권장/기본 기준)</t>
  </si>
  <si>
    <t>사용 방법</t>
  </si>
  <si>
    <t>1) INPUTS 시트에서 'Mode(권장/기본)'와 수용인원(일반/전체)을 입력합니다.</t>
  </si>
  <si>
    <t>2) CALC 시트에서 공간별 면적, 비공용면적 합계, 공용면적(비율), 총연면적, ㎡/인 결과를 확인합니다.</t>
  </si>
  <si>
    <t>3) LOOKUP 시트에서 100~1400명(100명 단위) 결과 테이블을 확인/복사해 사용합니다.</t>
  </si>
  <si>
    <t>설정값(기준) 요약</t>
  </si>
  <si>
    <t>- 권장(Recommended): 공용공간 비율 35%, 스터디라운지 39.6㎡ × (전체사생수/20)</t>
  </si>
  <si>
    <t>- 기본(Basic): 공용공간 비율 29%, 스터디라운지 39.6㎡ × (전체사생수/40) (권장의 50%)</t>
  </si>
  <si>
    <t>주의</t>
  </si>
  <si>
    <t>- 보고서 원문의 '전체 사생수' 정의가 프로젝트마다 달라질 수 있으므로, 본 템플릿은 TotalResidents를 별도 입력값으로 둡니다.</t>
  </si>
  <si>
    <t>- 본 템플릿의 모듈수 산정은 CEILING(… ,1)로 올림 처리(설비/프로그램 수량은 부족 방지)합니다.</t>
  </si>
  <si>
    <t>출처(보고서): TR-2024-01(국립대 생활관 시설 면적 산정 가이드라인 개발), 표 V-1, V-2 및 부록2~3</t>
  </si>
  <si>
    <t>입력(파라미터)</t>
  </si>
  <si>
    <t>Mode</t>
  </si>
  <si>
    <t>Recommended</t>
  </si>
  <si>
    <t>GeneralResidents (일반 사생수, 명)</t>
  </si>
  <si>
    <t>TotalResidents (전체 사생수, 명)  ※기본값=일반사생수</t>
  </si>
  <si>
    <t>공용공간 비율 (권장)</t>
  </si>
  <si>
    <t>공용공간 비율 (기본)</t>
  </si>
  <si>
    <t>모듈(기준면적) 상수</t>
  </si>
  <si>
    <t>Code</t>
  </si>
  <si>
    <t>Description</t>
  </si>
  <si>
    <t>Area(㎡)</t>
  </si>
  <si>
    <t>M13.2</t>
  </si>
  <si>
    <t>소규모 실(경비/당직/근로자휴게 등)</t>
  </si>
  <si>
    <t>M26.4</t>
  </si>
  <si>
    <t>중규모 실(사감실/공유주방 단위/보관실 단위 등)</t>
  </si>
  <si>
    <t>M39.6</t>
  </si>
  <si>
    <t>라운지/세탁 단위</t>
  </si>
  <si>
    <t>M66.0</t>
  </si>
  <si>
    <t>체력단련실 단위</t>
  </si>
  <si>
    <t>M92.4</t>
  </si>
  <si>
    <t>편의점(고정)</t>
  </si>
  <si>
    <t>M105.6</t>
  </si>
  <si>
    <t>행정 라운지(고정)</t>
  </si>
  <si>
    <t>산정 룰 테이블 (권장)</t>
  </si>
  <si>
    <t/>
  </si>
  <si>
    <t>Category</t>
  </si>
  <si>
    <t>Space</t>
  </si>
  <si>
    <t>CalcType</t>
  </si>
  <si>
    <t>Multiplier(㎡)</t>
  </si>
  <si>
    <t>Divisor</t>
  </si>
  <si>
    <t>FixedArea(㎡)</t>
  </si>
  <si>
    <t>Units Formula</t>
  </si>
  <si>
    <t>Area Formula</t>
  </si>
  <si>
    <t>주거생활공간</t>
  </si>
  <si>
    <t>일반 사생실</t>
  </si>
  <si>
    <t>PER_ROOM</t>
  </si>
  <si>
    <t>학습지원공간</t>
  </si>
  <si>
    <t>스터디라운지</t>
  </si>
  <si>
    <t>PER_RESIDENT</t>
  </si>
  <si>
    <t>생활편의공간</t>
  </si>
  <si>
    <t>체력단련실</t>
  </si>
  <si>
    <t>공유주방</t>
  </si>
  <si>
    <t>공동세탁실</t>
  </si>
  <si>
    <t>짐·택배 통합보관실</t>
  </si>
  <si>
    <t>편의점</t>
  </si>
  <si>
    <t>FIXED</t>
  </si>
  <si>
    <t>관리행정공간</t>
  </si>
  <si>
    <t>행정라운지</t>
  </si>
  <si>
    <t>경비실</t>
  </si>
  <si>
    <t>당직실</t>
  </si>
  <si>
    <t>근로자휴게실</t>
  </si>
  <si>
    <t>사감실(남)</t>
  </si>
  <si>
    <t>사감실(여)</t>
  </si>
  <si>
    <t>공용공간</t>
  </si>
  <si>
    <t>공용공간(복도/계단/설비 등)</t>
  </si>
  <si>
    <t>PERCENT_OF_TOTAL</t>
  </si>
  <si>
    <t>'=TotalGFA*INPUTS!$B$7</t>
  </si>
  <si>
    <t>산정 룰 테이블 (기본)</t>
  </si>
  <si>
    <t>'=TotalGFA*INPUTS!$B$8</t>
  </si>
  <si>
    <t>계산 결과 (Mode에 따라 자동 선택)</t>
  </si>
  <si>
    <t>GeneralResidents</t>
  </si>
  <si>
    <t>TotalResidents</t>
  </si>
  <si>
    <t>권장 기준(Recommended) 계산</t>
  </si>
  <si>
    <t>기본 기준(Basic) 계산</t>
  </si>
  <si>
    <t>Units</t>
  </si>
  <si>
    <t>비공용면적 합계</t>
  </si>
  <si>
    <t>총연면적(TotalGFA)</t>
  </si>
  <si>
    <t>공용공간 면적(CommonArea)</t>
  </si>
  <si>
    <t>㎡/인 (총연면적/일반사생수)</t>
  </si>
  <si>
    <t>선택 결과 (Mode 기반)</t>
  </si>
  <si>
    <t>Area(㎡) - Selected</t>
  </si>
  <si>
    <t>총연면적(TotalGFA) - Selected</t>
  </si>
  <si>
    <t>㎡/인 - Selected</t>
  </si>
  <si>
    <t>100~1400명(100명 단위) 룩업 테이블 (보고서 부록2~3 대응)</t>
  </si>
  <si>
    <t>N(일반사생수)</t>
  </si>
  <si>
    <t>짐·택배</t>
  </si>
  <si>
    <t>근로자휴게</t>
  </si>
  <si>
    <t>사감(남)</t>
  </si>
  <si>
    <t>사감(여)</t>
  </si>
  <si>
    <t>비공용면적합</t>
  </si>
  <si>
    <t>총연면적</t>
  </si>
  <si>
    <t>공용면적</t>
  </si>
  <si>
    <t>㎡/인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</si>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</sst>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#,##0.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color rgb="FF595959"/>
      <name val="Calibri"/>
    </font>
    <font>
      <b/>
      <sz val="13"/>
      <name val="Calibri"/>
    </font>
    <font>
      <b/>
      <sz val="11"/>
      <color rgb="FF0000FF"/>
      <name val="Calibri"/>
    </font>
    <font>
      <b/>
      <sz val="11"/>
      <color rgb="FFFFFFFF"/>
      <name val="Calibri"/>
    </font>
    <font>
      <b/>
      <sz val="12"/>
      <name val="Calibri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/>
    <xf numFmtId="0" fontId="2" fillId="0" borderId="0" xfId="1" applyFont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1" fontId="5" fillId="2" borderId="0" xfId="1" applyNumberFormat="1" applyFont="1" applyFill="1" applyAlignment="1">
      <alignment horizontal="left" vertical="center" wrapText="1"/>
    </xf>
    <xf numFmtId="176" fontId="0" fillId="3" borderId="0" xfId="1" applyNumberFormat="1" applyFont="1" applyFill="1"/>
    <xf numFmtId="0" fontId="6" fillId="4" borderId="1" xfId="1" applyFont="1" applyFill="1" applyBorder="1" applyAlignment="1">
      <alignment horizontal="left" vertical="center" wrapText="1"/>
    </xf>
    <xf numFmtId="0" fontId="0" fillId="0" borderId="1" xfId="1" applyFont="1" applyBorder="1" applyAlignment="1">
      <alignment horizontal="left" vertical="center" wrapText="1"/>
    </xf>
    <xf numFmtId="177" fontId="0" fillId="0" borderId="1" xfId="1" applyNumberFormat="1" applyFont="1" applyBorder="1" applyAlignment="1">
      <alignment horizontal="left" vertical="center" wrapText="1"/>
    </xf>
    <xf numFmtId="1" fontId="0" fillId="0" borderId="1" xfId="1" applyNumberFormat="1" applyFont="1" applyBorder="1" applyAlignment="1">
      <alignment horizontal="left" vertical="center" wrapText="1"/>
    </xf>
    <xf numFmtId="0" fontId="2" fillId="5" borderId="0" xfId="1" applyFont="1" applyFill="1" applyAlignment="1">
      <alignment horizontal="left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0" fillId="0" borderId="1" xfId="1" applyFont="1" applyBorder="1"/>
    <xf numFmtId="1" fontId="0" fillId="0" borderId="1" xfId="1" applyNumberFormat="1" applyFont="1" applyBorder="1"/>
    <xf numFmtId="178" fontId="0" fillId="0" borderId="1" xfId="1" applyNumberFormat="1" applyFont="1" applyBorder="1"/>
    <xf numFmtId="0" fontId="2" fillId="0" borderId="1" xfId="1" applyFont="1" applyBorder="1"/>
    <xf numFmtId="178" fontId="2" fillId="0" borderId="1" xfId="1" applyNumberFormat="1" applyFont="1" applyBorder="1"/>
    <xf numFmtId="2" fontId="0" fillId="0" borderId="1" xfId="1" applyNumberFormat="1" applyFont="1" applyBorder="1"/>
    <xf numFmtId="0" fontId="7" fillId="0" borderId="0" xfId="1" applyFont="1"/>
    <xf numFmtId="1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178" fontId="0" fillId="0" borderId="1" xfId="1" applyNumberFormat="1" applyFont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tabSelected="1" workbookViewId="0"/>
  </sheetViews>
  <sheetFormatPr defaultRowHeight="15" x14ac:dyDescent="0.25"/>
  <cols>
    <col min="1" max="1" width="120" customWidth="1"/>
  </cols>
  <sheetData>
    <row r="1" spans="1:1" ht="18.7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s="2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s="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6" spans="1:1" x14ac:dyDescent="0.25">
      <c r="A16" s="3" t="s">
        <v>11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selection activeCell="B5" sqref="B5"/>
    </sheetView>
  </sheetViews>
  <sheetFormatPr defaultRowHeight="15" x14ac:dyDescent="0.25"/>
  <cols>
    <col min="1" max="1" width="55" customWidth="1"/>
    <col min="2" max="2" width="22" customWidth="1"/>
    <col min="3" max="3" width="10" customWidth="1"/>
  </cols>
  <sheetData>
    <row r="1" spans="1:2" ht="17.25" x14ac:dyDescent="0.3">
      <c r="A1" s="4" t="s">
        <v>12</v>
      </c>
    </row>
    <row r="3" spans="1:2" x14ac:dyDescent="0.25">
      <c r="A3" s="5" t="s">
        <v>13</v>
      </c>
      <c r="B3" s="6" t="s">
        <v>14</v>
      </c>
    </row>
    <row r="4" spans="1:2" x14ac:dyDescent="0.25">
      <c r="A4" s="5" t="s">
        <v>15</v>
      </c>
      <c r="B4" s="7">
        <v>800</v>
      </c>
    </row>
    <row r="5" spans="1:2" x14ac:dyDescent="0.25">
      <c r="A5" s="5" t="s">
        <v>16</v>
      </c>
      <c r="B5" s="7">
        <f>B4</f>
        <v>800</v>
      </c>
    </row>
    <row r="6" spans="1:2" x14ac:dyDescent="0.25">
      <c r="A6" s="5"/>
    </row>
    <row r="7" spans="1:2" x14ac:dyDescent="0.25">
      <c r="A7" s="5" t="s">
        <v>17</v>
      </c>
      <c r="B7" s="8">
        <v>0.35</v>
      </c>
    </row>
    <row r="8" spans="1:2" x14ac:dyDescent="0.25">
      <c r="A8" s="5" t="s">
        <v>18</v>
      </c>
      <c r="B8" s="8">
        <v>0.28999999999999998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workbookViewId="0">
      <selection activeCell="C3" sqref="C3"/>
    </sheetView>
  </sheetViews>
  <sheetFormatPr defaultRowHeight="15" x14ac:dyDescent="0.25"/>
  <cols>
    <col min="1" max="1" width="12" customWidth="1"/>
    <col min="2" max="2" width="48" customWidth="1"/>
    <col min="3" max="3" width="12" customWidth="1"/>
  </cols>
  <sheetData>
    <row r="1" spans="1:3" ht="17.25" x14ac:dyDescent="0.3">
      <c r="A1" s="4" t="s">
        <v>19</v>
      </c>
    </row>
    <row r="2" spans="1:3" x14ac:dyDescent="0.25">
      <c r="A2" s="9" t="s">
        <v>20</v>
      </c>
      <c r="B2" s="9" t="s">
        <v>21</v>
      </c>
      <c r="C2" s="9" t="s">
        <v>22</v>
      </c>
    </row>
    <row r="3" spans="1:3" x14ac:dyDescent="0.25">
      <c r="A3" s="10" t="s">
        <v>23</v>
      </c>
      <c r="B3" s="10" t="s">
        <v>24</v>
      </c>
      <c r="C3" s="11">
        <v>13.2</v>
      </c>
    </row>
    <row r="4" spans="1:3" x14ac:dyDescent="0.25">
      <c r="A4" s="10" t="s">
        <v>25</v>
      </c>
      <c r="B4" s="10" t="s">
        <v>26</v>
      </c>
      <c r="C4" s="11">
        <v>26.4</v>
      </c>
    </row>
    <row r="5" spans="1:3" x14ac:dyDescent="0.25">
      <c r="A5" s="10" t="s">
        <v>27</v>
      </c>
      <c r="B5" s="10" t="s">
        <v>28</v>
      </c>
      <c r="C5" s="11">
        <v>39.6</v>
      </c>
    </row>
    <row r="6" spans="1:3" x14ac:dyDescent="0.25">
      <c r="A6" s="10" t="s">
        <v>29</v>
      </c>
      <c r="B6" s="10" t="s">
        <v>30</v>
      </c>
      <c r="C6" s="11">
        <v>66</v>
      </c>
    </row>
    <row r="7" spans="1:3" x14ac:dyDescent="0.25">
      <c r="A7" s="10" t="s">
        <v>31</v>
      </c>
      <c r="B7" s="10" t="s">
        <v>32</v>
      </c>
      <c r="C7" s="11">
        <v>92.4</v>
      </c>
    </row>
    <row r="8" spans="1:3" x14ac:dyDescent="0.25">
      <c r="A8" s="10" t="s">
        <v>33</v>
      </c>
      <c r="B8" s="10" t="s">
        <v>34</v>
      </c>
      <c r="C8" s="11">
        <v>105.6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workbookViewId="0"/>
  </sheetViews>
  <sheetFormatPr defaultRowHeight="15" x14ac:dyDescent="0.25"/>
  <cols>
    <col min="1" max="1" width="16" customWidth="1"/>
    <col min="2" max="2" width="26" customWidth="1"/>
    <col min="3" max="3" width="16" customWidth="1"/>
    <col min="4" max="4" width="14" customWidth="1"/>
    <col min="5" max="5" width="10" customWidth="1"/>
    <col min="6" max="6" width="14" customWidth="1"/>
    <col min="7" max="7" width="18" customWidth="1"/>
    <col min="8" max="8" width="28" customWidth="1"/>
  </cols>
  <sheetData>
    <row r="1" spans="1:8" ht="17.25" x14ac:dyDescent="0.3">
      <c r="A1" s="4" t="s">
        <v>35</v>
      </c>
    </row>
    <row r="2" spans="1:8" x14ac:dyDescent="0.25">
      <c r="A2" t="s">
        <v>36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</row>
    <row r="3" spans="1:8" x14ac:dyDescent="0.25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44</v>
      </c>
    </row>
    <row r="4" spans="1:8" x14ac:dyDescent="0.25">
      <c r="A4" s="10" t="s">
        <v>45</v>
      </c>
      <c r="B4" s="10" t="s">
        <v>46</v>
      </c>
      <c r="C4" s="10" t="s">
        <v>47</v>
      </c>
      <c r="D4" s="11">
        <v>26.4</v>
      </c>
      <c r="E4" s="12">
        <v>2</v>
      </c>
      <c r="F4" s="11" t="s">
        <v>36</v>
      </c>
      <c r="G4" s="10">
        <f>CEILING(INPUTS!$B$4/2,1)</f>
        <v>400</v>
      </c>
      <c r="H4" s="10">
        <f>26.4*CEILING(INPUTS!$B$4/2,1)</f>
        <v>10560</v>
      </c>
    </row>
    <row r="5" spans="1:8" x14ac:dyDescent="0.25">
      <c r="A5" s="10" t="s">
        <v>48</v>
      </c>
      <c r="B5" s="10" t="s">
        <v>49</v>
      </c>
      <c r="C5" s="10" t="s">
        <v>50</v>
      </c>
      <c r="D5" s="11">
        <v>39.6</v>
      </c>
      <c r="E5" s="12">
        <v>20</v>
      </c>
      <c r="F5" s="11" t="s">
        <v>36</v>
      </c>
      <c r="G5" s="10">
        <f>CEILING(INPUTS!$B$5/20,1)</f>
        <v>40</v>
      </c>
      <c r="H5" s="10">
        <f>39.6*CEILING(INPUTS!$B$5/20,1)</f>
        <v>1584</v>
      </c>
    </row>
    <row r="6" spans="1:8" x14ac:dyDescent="0.25">
      <c r="A6" s="10" t="s">
        <v>51</v>
      </c>
      <c r="B6" s="10" t="s">
        <v>52</v>
      </c>
      <c r="C6" s="10" t="s">
        <v>50</v>
      </c>
      <c r="D6" s="11">
        <v>66</v>
      </c>
      <c r="E6" s="12">
        <v>330</v>
      </c>
      <c r="F6" s="11" t="s">
        <v>36</v>
      </c>
      <c r="G6" s="10">
        <f>CEILING(INPUTS!$B$5/330,1)</f>
        <v>3</v>
      </c>
      <c r="H6" s="10">
        <f>66*CEILING(INPUTS!$B$5/330,1)</f>
        <v>198</v>
      </c>
    </row>
    <row r="7" spans="1:8" x14ac:dyDescent="0.25">
      <c r="A7" s="10" t="s">
        <v>51</v>
      </c>
      <c r="B7" s="10" t="s">
        <v>53</v>
      </c>
      <c r="C7" s="10" t="s">
        <v>50</v>
      </c>
      <c r="D7" s="11">
        <v>26.4</v>
      </c>
      <c r="E7" s="12">
        <v>180</v>
      </c>
      <c r="F7" s="11" t="s">
        <v>36</v>
      </c>
      <c r="G7" s="10">
        <f>CEILING(INPUTS!$B$5/180,1)</f>
        <v>5</v>
      </c>
      <c r="H7" s="10">
        <f>26.4*CEILING(INPUTS!$B$5/180,1)</f>
        <v>132</v>
      </c>
    </row>
    <row r="8" spans="1:8" x14ac:dyDescent="0.25">
      <c r="A8" s="10" t="s">
        <v>51</v>
      </c>
      <c r="B8" s="10" t="s">
        <v>54</v>
      </c>
      <c r="C8" s="10" t="s">
        <v>50</v>
      </c>
      <c r="D8" s="11">
        <v>39.6</v>
      </c>
      <c r="E8" s="12">
        <v>300</v>
      </c>
      <c r="F8" s="11" t="s">
        <v>36</v>
      </c>
      <c r="G8" s="10">
        <f>CEILING(INPUTS!$B$5/300,1)</f>
        <v>3</v>
      </c>
      <c r="H8" s="10">
        <f>39.6*CEILING(INPUTS!$B$5/300,1)</f>
        <v>118.80000000000001</v>
      </c>
    </row>
    <row r="9" spans="1:8" x14ac:dyDescent="0.25">
      <c r="A9" s="10" t="s">
        <v>51</v>
      </c>
      <c r="B9" s="10" t="s">
        <v>55</v>
      </c>
      <c r="C9" s="10" t="s">
        <v>50</v>
      </c>
      <c r="D9" s="11">
        <v>26.4</v>
      </c>
      <c r="E9" s="12">
        <v>150</v>
      </c>
      <c r="F9" s="11" t="s">
        <v>36</v>
      </c>
      <c r="G9" s="10">
        <f>CEILING(INPUTS!$B$5/150,1)</f>
        <v>6</v>
      </c>
      <c r="H9" s="10">
        <f>26.4*CEILING(INPUTS!$B$5/150,1)</f>
        <v>158.39999999999998</v>
      </c>
    </row>
    <row r="10" spans="1:8" x14ac:dyDescent="0.25">
      <c r="A10" s="10" t="s">
        <v>51</v>
      </c>
      <c r="B10" s="10" t="s">
        <v>56</v>
      </c>
      <c r="C10" s="10" t="s">
        <v>57</v>
      </c>
      <c r="D10" s="11" t="s">
        <v>36</v>
      </c>
      <c r="E10" s="12" t="s">
        <v>36</v>
      </c>
      <c r="F10" s="11">
        <v>92.4</v>
      </c>
      <c r="G10" s="10">
        <f>1</f>
        <v>1</v>
      </c>
      <c r="H10" s="10">
        <f>92.4</f>
        <v>92.4</v>
      </c>
    </row>
    <row r="11" spans="1:8" x14ac:dyDescent="0.25">
      <c r="A11" s="10" t="s">
        <v>58</v>
      </c>
      <c r="B11" s="10" t="s">
        <v>59</v>
      </c>
      <c r="C11" s="10" t="s">
        <v>57</v>
      </c>
      <c r="D11" s="11" t="s">
        <v>36</v>
      </c>
      <c r="E11" s="12" t="s">
        <v>36</v>
      </c>
      <c r="F11" s="11">
        <v>105.6</v>
      </c>
      <c r="G11" s="10">
        <f>1</f>
        <v>1</v>
      </c>
      <c r="H11" s="10">
        <f>105.6</f>
        <v>105.6</v>
      </c>
    </row>
    <row r="12" spans="1:8" x14ac:dyDescent="0.25">
      <c r="A12" s="10" t="s">
        <v>58</v>
      </c>
      <c r="B12" s="10" t="s">
        <v>60</v>
      </c>
      <c r="C12" s="10" t="s">
        <v>57</v>
      </c>
      <c r="D12" s="11" t="s">
        <v>36</v>
      </c>
      <c r="E12" s="12" t="s">
        <v>36</v>
      </c>
      <c r="F12" s="11">
        <v>13.2</v>
      </c>
      <c r="G12" s="10">
        <f>1</f>
        <v>1</v>
      </c>
      <c r="H12" s="10">
        <f>13.2</f>
        <v>13.2</v>
      </c>
    </row>
    <row r="13" spans="1:8" x14ac:dyDescent="0.25">
      <c r="A13" s="10" t="s">
        <v>58</v>
      </c>
      <c r="B13" s="10" t="s">
        <v>61</v>
      </c>
      <c r="C13" s="10" t="s">
        <v>57</v>
      </c>
      <c r="D13" s="11" t="s">
        <v>36</v>
      </c>
      <c r="E13" s="12" t="s">
        <v>36</v>
      </c>
      <c r="F13" s="11">
        <v>13.2</v>
      </c>
      <c r="G13" s="10">
        <f>1</f>
        <v>1</v>
      </c>
      <c r="H13" s="10">
        <f>13.2</f>
        <v>13.2</v>
      </c>
    </row>
    <row r="14" spans="1:8" x14ac:dyDescent="0.25">
      <c r="A14" s="10" t="s">
        <v>58</v>
      </c>
      <c r="B14" s="10" t="s">
        <v>62</v>
      </c>
      <c r="C14" s="10" t="s">
        <v>57</v>
      </c>
      <c r="D14" s="11" t="s">
        <v>36</v>
      </c>
      <c r="E14" s="12" t="s">
        <v>36</v>
      </c>
      <c r="F14" s="11">
        <v>13.2</v>
      </c>
      <c r="G14" s="10">
        <f>1</f>
        <v>1</v>
      </c>
      <c r="H14" s="10">
        <f>13.2</f>
        <v>13.2</v>
      </c>
    </row>
    <row r="15" spans="1:8" x14ac:dyDescent="0.25">
      <c r="A15" s="10" t="s">
        <v>58</v>
      </c>
      <c r="B15" s="10" t="s">
        <v>63</v>
      </c>
      <c r="C15" s="10" t="s">
        <v>57</v>
      </c>
      <c r="D15" s="11" t="s">
        <v>36</v>
      </c>
      <c r="E15" s="12" t="s">
        <v>36</v>
      </c>
      <c r="F15" s="11">
        <v>26.4</v>
      </c>
      <c r="G15" s="10">
        <f>1</f>
        <v>1</v>
      </c>
      <c r="H15" s="10">
        <f>26.4</f>
        <v>26.4</v>
      </c>
    </row>
    <row r="16" spans="1:8" x14ac:dyDescent="0.25">
      <c r="A16" s="10" t="s">
        <v>58</v>
      </c>
      <c r="B16" s="10" t="s">
        <v>64</v>
      </c>
      <c r="C16" s="10" t="s">
        <v>57</v>
      </c>
      <c r="D16" s="11" t="s">
        <v>36</v>
      </c>
      <c r="E16" s="12" t="s">
        <v>36</v>
      </c>
      <c r="F16" s="11">
        <v>26.4</v>
      </c>
      <c r="G16" s="10">
        <f>1</f>
        <v>1</v>
      </c>
      <c r="H16" s="10">
        <f>26.4</f>
        <v>26.4</v>
      </c>
    </row>
    <row r="17" spans="1:8" ht="30" x14ac:dyDescent="0.25">
      <c r="A17" s="10" t="s">
        <v>65</v>
      </c>
      <c r="B17" s="10" t="s">
        <v>66</v>
      </c>
      <c r="C17" s="10" t="s">
        <v>67</v>
      </c>
      <c r="D17" s="11" t="s">
        <v>36</v>
      </c>
      <c r="E17" s="12" t="s">
        <v>36</v>
      </c>
      <c r="F17" s="11" t="s">
        <v>36</v>
      </c>
      <c r="G17" s="10" t="s">
        <v>36</v>
      </c>
      <c r="H17" s="10" t="s">
        <v>68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workbookViewId="0">
      <selection activeCell="F37" sqref="F37"/>
    </sheetView>
  </sheetViews>
  <sheetFormatPr defaultRowHeight="15" x14ac:dyDescent="0.25"/>
  <cols>
    <col min="1" max="1" width="16" customWidth="1"/>
    <col min="2" max="2" width="26" customWidth="1"/>
    <col min="3" max="3" width="16" customWidth="1"/>
    <col min="4" max="4" width="14" customWidth="1"/>
    <col min="5" max="5" width="10" customWidth="1"/>
    <col min="6" max="6" width="14" customWidth="1"/>
    <col min="7" max="7" width="18" customWidth="1"/>
    <col min="8" max="8" width="28" customWidth="1"/>
  </cols>
  <sheetData>
    <row r="1" spans="1:8" ht="17.25" x14ac:dyDescent="0.3">
      <c r="A1" s="4" t="s">
        <v>69</v>
      </c>
    </row>
    <row r="2" spans="1:8" x14ac:dyDescent="0.25">
      <c r="A2" t="s">
        <v>36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</row>
    <row r="3" spans="1:8" x14ac:dyDescent="0.25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44</v>
      </c>
    </row>
    <row r="4" spans="1:8" x14ac:dyDescent="0.25">
      <c r="A4" s="10" t="s">
        <v>45</v>
      </c>
      <c r="B4" s="10" t="s">
        <v>46</v>
      </c>
      <c r="C4" s="10" t="s">
        <v>47</v>
      </c>
      <c r="D4" s="11">
        <v>26.4</v>
      </c>
      <c r="E4" s="12">
        <v>2</v>
      </c>
      <c r="F4" s="11" t="s">
        <v>36</v>
      </c>
      <c r="G4" s="10">
        <f>CEILING(INPUTS!$B$4/2,1)</f>
        <v>400</v>
      </c>
      <c r="H4" s="10">
        <f>26.4*CEILING(INPUTS!$B$4/2,1)</f>
        <v>10560</v>
      </c>
    </row>
    <row r="5" spans="1:8" x14ac:dyDescent="0.25">
      <c r="A5" s="10" t="s">
        <v>48</v>
      </c>
      <c r="B5" s="10" t="s">
        <v>49</v>
      </c>
      <c r="C5" s="10" t="s">
        <v>50</v>
      </c>
      <c r="D5" s="11">
        <v>39.6</v>
      </c>
      <c r="E5" s="12">
        <v>40</v>
      </c>
      <c r="F5" s="11" t="s">
        <v>36</v>
      </c>
      <c r="G5" s="10">
        <f>CEILING(INPUTS!$B$5/40,1)</f>
        <v>20</v>
      </c>
      <c r="H5" s="10">
        <f>39.6*CEILING(INPUTS!$B$5/40,1)</f>
        <v>792</v>
      </c>
    </row>
    <row r="6" spans="1:8" x14ac:dyDescent="0.25">
      <c r="A6" s="10" t="s">
        <v>51</v>
      </c>
      <c r="B6" s="10" t="s">
        <v>52</v>
      </c>
      <c r="C6" s="10" t="s">
        <v>50</v>
      </c>
      <c r="D6" s="11">
        <v>66</v>
      </c>
      <c r="E6" s="12">
        <v>330</v>
      </c>
      <c r="F6" s="11" t="s">
        <v>36</v>
      </c>
      <c r="G6" s="10">
        <f>CEILING(INPUTS!$B$5/330,1)</f>
        <v>3</v>
      </c>
      <c r="H6" s="10">
        <f>66*CEILING(INPUTS!$B$5/330,1)</f>
        <v>198</v>
      </c>
    </row>
    <row r="7" spans="1:8" x14ac:dyDescent="0.25">
      <c r="A7" s="10" t="s">
        <v>51</v>
      </c>
      <c r="B7" s="10" t="s">
        <v>53</v>
      </c>
      <c r="C7" s="10" t="s">
        <v>50</v>
      </c>
      <c r="D7" s="11">
        <v>26.4</v>
      </c>
      <c r="E7" s="12">
        <v>180</v>
      </c>
      <c r="F7" s="11" t="s">
        <v>36</v>
      </c>
      <c r="G7" s="10">
        <f>CEILING(INPUTS!$B$5/180,1)</f>
        <v>5</v>
      </c>
      <c r="H7" s="10">
        <f>26.4*CEILING(INPUTS!$B$5/180,1)</f>
        <v>132</v>
      </c>
    </row>
    <row r="8" spans="1:8" x14ac:dyDescent="0.25">
      <c r="A8" s="10" t="s">
        <v>51</v>
      </c>
      <c r="B8" s="10" t="s">
        <v>54</v>
      </c>
      <c r="C8" s="10" t="s">
        <v>50</v>
      </c>
      <c r="D8" s="11">
        <v>39.6</v>
      </c>
      <c r="E8" s="12">
        <v>300</v>
      </c>
      <c r="F8" s="11" t="s">
        <v>36</v>
      </c>
      <c r="G8" s="10">
        <f>CEILING(INPUTS!$B$5/300,1)</f>
        <v>3</v>
      </c>
      <c r="H8" s="10">
        <f>39.6*CEILING(INPUTS!$B$5/300,1)</f>
        <v>118.80000000000001</v>
      </c>
    </row>
    <row r="9" spans="1:8" x14ac:dyDescent="0.25">
      <c r="A9" s="10" t="s">
        <v>51</v>
      </c>
      <c r="B9" s="10" t="s">
        <v>55</v>
      </c>
      <c r="C9" s="10" t="s">
        <v>50</v>
      </c>
      <c r="D9" s="11">
        <v>26.4</v>
      </c>
      <c r="E9" s="12">
        <v>150</v>
      </c>
      <c r="F9" s="11" t="s">
        <v>36</v>
      </c>
      <c r="G9" s="10">
        <f>CEILING(INPUTS!$B$5/150,1)</f>
        <v>6</v>
      </c>
      <c r="H9" s="10">
        <f>26.4*CEILING(INPUTS!$B$5/150,1)</f>
        <v>158.39999999999998</v>
      </c>
    </row>
    <row r="10" spans="1:8" x14ac:dyDescent="0.25">
      <c r="A10" s="10" t="s">
        <v>51</v>
      </c>
      <c r="B10" s="10" t="s">
        <v>56</v>
      </c>
      <c r="C10" s="10" t="s">
        <v>57</v>
      </c>
      <c r="D10" s="11" t="s">
        <v>36</v>
      </c>
      <c r="E10" s="12" t="s">
        <v>36</v>
      </c>
      <c r="F10" s="11">
        <v>92.4</v>
      </c>
      <c r="G10" s="10">
        <f>1</f>
        <v>1</v>
      </c>
      <c r="H10" s="10">
        <f>92.4</f>
        <v>92.4</v>
      </c>
    </row>
    <row r="11" spans="1:8" x14ac:dyDescent="0.25">
      <c r="A11" s="10" t="s">
        <v>58</v>
      </c>
      <c r="B11" s="10" t="s">
        <v>59</v>
      </c>
      <c r="C11" s="10" t="s">
        <v>57</v>
      </c>
      <c r="D11" s="11" t="s">
        <v>36</v>
      </c>
      <c r="E11" s="12" t="s">
        <v>36</v>
      </c>
      <c r="F11" s="11">
        <v>105.6</v>
      </c>
      <c r="G11" s="10">
        <f>1</f>
        <v>1</v>
      </c>
      <c r="H11" s="10">
        <f>105.6</f>
        <v>105.6</v>
      </c>
    </row>
    <row r="12" spans="1:8" x14ac:dyDescent="0.25">
      <c r="A12" s="10" t="s">
        <v>58</v>
      </c>
      <c r="B12" s="10" t="s">
        <v>60</v>
      </c>
      <c r="C12" s="10" t="s">
        <v>57</v>
      </c>
      <c r="D12" s="11" t="s">
        <v>36</v>
      </c>
      <c r="E12" s="12" t="s">
        <v>36</v>
      </c>
      <c r="F12" s="11">
        <v>13.2</v>
      </c>
      <c r="G12" s="10">
        <f>1</f>
        <v>1</v>
      </c>
      <c r="H12" s="10">
        <f>13.2</f>
        <v>13.2</v>
      </c>
    </row>
    <row r="13" spans="1:8" x14ac:dyDescent="0.25">
      <c r="A13" s="10" t="s">
        <v>58</v>
      </c>
      <c r="B13" s="10" t="s">
        <v>61</v>
      </c>
      <c r="C13" s="10" t="s">
        <v>57</v>
      </c>
      <c r="D13" s="11" t="s">
        <v>36</v>
      </c>
      <c r="E13" s="12" t="s">
        <v>36</v>
      </c>
      <c r="F13" s="11">
        <v>13.2</v>
      </c>
      <c r="G13" s="10">
        <f>1</f>
        <v>1</v>
      </c>
      <c r="H13" s="10">
        <f>13.2</f>
        <v>13.2</v>
      </c>
    </row>
    <row r="14" spans="1:8" x14ac:dyDescent="0.25">
      <c r="A14" s="10" t="s">
        <v>58</v>
      </c>
      <c r="B14" s="10" t="s">
        <v>62</v>
      </c>
      <c r="C14" s="10" t="s">
        <v>57</v>
      </c>
      <c r="D14" s="11" t="s">
        <v>36</v>
      </c>
      <c r="E14" s="12" t="s">
        <v>36</v>
      </c>
      <c r="F14" s="11">
        <v>13.2</v>
      </c>
      <c r="G14" s="10">
        <f>1</f>
        <v>1</v>
      </c>
      <c r="H14" s="10">
        <f>13.2</f>
        <v>13.2</v>
      </c>
    </row>
    <row r="15" spans="1:8" x14ac:dyDescent="0.25">
      <c r="A15" s="10" t="s">
        <v>58</v>
      </c>
      <c r="B15" s="10" t="s">
        <v>63</v>
      </c>
      <c r="C15" s="10" t="s">
        <v>57</v>
      </c>
      <c r="D15" s="11" t="s">
        <v>36</v>
      </c>
      <c r="E15" s="12" t="s">
        <v>36</v>
      </c>
      <c r="F15" s="11">
        <v>26.4</v>
      </c>
      <c r="G15" s="10">
        <f>1</f>
        <v>1</v>
      </c>
      <c r="H15" s="10">
        <f>26.4</f>
        <v>26.4</v>
      </c>
    </row>
    <row r="16" spans="1:8" x14ac:dyDescent="0.25">
      <c r="A16" s="10" t="s">
        <v>58</v>
      </c>
      <c r="B16" s="10" t="s">
        <v>64</v>
      </c>
      <c r="C16" s="10" t="s">
        <v>57</v>
      </c>
      <c r="D16" s="11" t="s">
        <v>36</v>
      </c>
      <c r="E16" s="12" t="s">
        <v>36</v>
      </c>
      <c r="F16" s="11">
        <v>26.4</v>
      </c>
      <c r="G16" s="10">
        <f>1</f>
        <v>1</v>
      </c>
      <c r="H16" s="10">
        <f>26.4</f>
        <v>26.4</v>
      </c>
    </row>
    <row r="17" spans="1:8" ht="30" x14ac:dyDescent="0.25">
      <c r="A17" s="10" t="s">
        <v>65</v>
      </c>
      <c r="B17" s="10" t="s">
        <v>66</v>
      </c>
      <c r="C17" s="10" t="s">
        <v>67</v>
      </c>
      <c r="D17" s="11" t="s">
        <v>36</v>
      </c>
      <c r="E17" s="12" t="s">
        <v>36</v>
      </c>
      <c r="F17" s="11" t="s">
        <v>36</v>
      </c>
      <c r="G17" s="10" t="s">
        <v>36</v>
      </c>
      <c r="H17" s="10" t="s">
        <v>70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"/>
  <sheetViews>
    <sheetView showGridLines="0" workbookViewId="0"/>
  </sheetViews>
  <sheetFormatPr defaultRowHeight="15" x14ac:dyDescent="0.25"/>
  <cols>
    <col min="1" max="1" width="18" customWidth="1"/>
    <col min="2" max="2" width="28" customWidth="1"/>
    <col min="3" max="3" width="22" customWidth="1"/>
    <col min="4" max="4" width="14" customWidth="1"/>
    <col min="5" max="5" width="3" customWidth="1"/>
    <col min="6" max="6" width="18" customWidth="1"/>
    <col min="7" max="7" width="28" customWidth="1"/>
    <col min="8" max="8" width="10" customWidth="1"/>
    <col min="9" max="9" width="14" customWidth="1"/>
    <col min="10" max="10" width="3" customWidth="1"/>
  </cols>
  <sheetData>
    <row r="1" spans="1:9" ht="18.75" x14ac:dyDescent="0.3">
      <c r="A1" s="1" t="s">
        <v>71</v>
      </c>
    </row>
    <row r="3" spans="1:9" ht="18" customHeight="1" x14ac:dyDescent="0.25">
      <c r="A3" s="2" t="s">
        <v>13</v>
      </c>
      <c r="B3" s="13" t="str">
        <f>INPUTS!$B$3</f>
        <v>Recommended</v>
      </c>
    </row>
    <row r="4" spans="1:9" ht="18" customHeight="1" x14ac:dyDescent="0.25">
      <c r="A4" s="2" t="s">
        <v>72</v>
      </c>
      <c r="B4" s="13">
        <f>INPUTS!$B$4</f>
        <v>800</v>
      </c>
    </row>
    <row r="5" spans="1:9" ht="18" customHeight="1" x14ac:dyDescent="0.25">
      <c r="A5" s="2" t="s">
        <v>73</v>
      </c>
      <c r="B5" s="13">
        <f>INPUTS!$B$5</f>
        <v>800</v>
      </c>
    </row>
    <row r="8" spans="1:9" x14ac:dyDescent="0.25">
      <c r="A8" s="2" t="s">
        <v>74</v>
      </c>
      <c r="F8" s="2" t="s">
        <v>75</v>
      </c>
    </row>
    <row r="9" spans="1:9" x14ac:dyDescent="0.25">
      <c r="A9" s="14" t="s">
        <v>37</v>
      </c>
      <c r="B9" s="14" t="s">
        <v>38</v>
      </c>
      <c r="C9" s="14" t="s">
        <v>76</v>
      </c>
      <c r="D9" s="14" t="s">
        <v>22</v>
      </c>
      <c r="F9" s="14" t="s">
        <v>37</v>
      </c>
      <c r="G9" s="14" t="s">
        <v>38</v>
      </c>
      <c r="H9" s="14" t="s">
        <v>76</v>
      </c>
      <c r="I9" s="14" t="s">
        <v>22</v>
      </c>
    </row>
    <row r="10" spans="1:9" x14ac:dyDescent="0.25">
      <c r="A10" s="15" t="s">
        <v>45</v>
      </c>
      <c r="B10" s="15" t="s">
        <v>46</v>
      </c>
      <c r="C10" s="16">
        <f>RULES_RECOMM!$G$4</f>
        <v>400</v>
      </c>
      <c r="D10" s="17">
        <f>RULES_RECOMM!$H$4</f>
        <v>10560</v>
      </c>
      <c r="F10" s="15" t="s">
        <v>45</v>
      </c>
      <c r="G10" s="15" t="s">
        <v>46</v>
      </c>
      <c r="H10" s="16">
        <f>RULES_BASIC!$G$4</f>
        <v>400</v>
      </c>
      <c r="I10" s="17">
        <f>RULES_BASIC!$H$4</f>
        <v>10560</v>
      </c>
    </row>
    <row r="11" spans="1:9" x14ac:dyDescent="0.25">
      <c r="A11" s="15" t="s">
        <v>48</v>
      </c>
      <c r="B11" s="15" t="s">
        <v>49</v>
      </c>
      <c r="C11" s="16">
        <f>RULES_RECOMM!$G$5</f>
        <v>40</v>
      </c>
      <c r="D11" s="17">
        <f>RULES_RECOMM!$H$5</f>
        <v>1584</v>
      </c>
      <c r="F11" s="15" t="s">
        <v>48</v>
      </c>
      <c r="G11" s="15" t="s">
        <v>49</v>
      </c>
      <c r="H11" s="16">
        <f>RULES_BASIC!$G$5</f>
        <v>20</v>
      </c>
      <c r="I11" s="17">
        <f>RULES_BASIC!$H$5</f>
        <v>792</v>
      </c>
    </row>
    <row r="12" spans="1:9" x14ac:dyDescent="0.25">
      <c r="A12" s="15" t="s">
        <v>51</v>
      </c>
      <c r="B12" s="15" t="s">
        <v>52</v>
      </c>
      <c r="C12" s="16">
        <f>RULES_RECOMM!$G$6</f>
        <v>3</v>
      </c>
      <c r="D12" s="17">
        <f>RULES_RECOMM!$H$6</f>
        <v>198</v>
      </c>
      <c r="F12" s="15" t="s">
        <v>51</v>
      </c>
      <c r="G12" s="15" t="s">
        <v>52</v>
      </c>
      <c r="H12" s="16">
        <f>RULES_BASIC!$G$6</f>
        <v>3</v>
      </c>
      <c r="I12" s="17">
        <f>RULES_BASIC!$H$6</f>
        <v>198</v>
      </c>
    </row>
    <row r="13" spans="1:9" x14ac:dyDescent="0.25">
      <c r="A13" s="15" t="s">
        <v>51</v>
      </c>
      <c r="B13" s="15" t="s">
        <v>53</v>
      </c>
      <c r="C13" s="16">
        <f>RULES_RECOMM!$G$7</f>
        <v>5</v>
      </c>
      <c r="D13" s="17">
        <f>RULES_RECOMM!$H$7</f>
        <v>132</v>
      </c>
      <c r="F13" s="15" t="s">
        <v>51</v>
      </c>
      <c r="G13" s="15" t="s">
        <v>53</v>
      </c>
      <c r="H13" s="16">
        <f>RULES_BASIC!$G$7</f>
        <v>5</v>
      </c>
      <c r="I13" s="17">
        <f>RULES_BASIC!$H$7</f>
        <v>132</v>
      </c>
    </row>
    <row r="14" spans="1:9" x14ac:dyDescent="0.25">
      <c r="A14" s="15" t="s">
        <v>51</v>
      </c>
      <c r="B14" s="15" t="s">
        <v>54</v>
      </c>
      <c r="C14" s="16">
        <f>RULES_RECOMM!$G$8</f>
        <v>3</v>
      </c>
      <c r="D14" s="17">
        <f>RULES_RECOMM!$H$8</f>
        <v>118.80000000000001</v>
      </c>
      <c r="F14" s="15" t="s">
        <v>51</v>
      </c>
      <c r="G14" s="15" t="s">
        <v>54</v>
      </c>
      <c r="H14" s="16">
        <f>RULES_BASIC!$G$8</f>
        <v>3</v>
      </c>
      <c r="I14" s="17">
        <f>RULES_BASIC!$H$8</f>
        <v>118.80000000000001</v>
      </c>
    </row>
    <row r="15" spans="1:9" x14ac:dyDescent="0.25">
      <c r="A15" s="15" t="s">
        <v>51</v>
      </c>
      <c r="B15" s="15" t="s">
        <v>55</v>
      </c>
      <c r="C15" s="16">
        <f>RULES_RECOMM!$G$9</f>
        <v>6</v>
      </c>
      <c r="D15" s="17">
        <f>RULES_RECOMM!$H$9</f>
        <v>158.39999999999998</v>
      </c>
      <c r="F15" s="15" t="s">
        <v>51</v>
      </c>
      <c r="G15" s="15" t="s">
        <v>55</v>
      </c>
      <c r="H15" s="16">
        <f>RULES_BASIC!$G$9</f>
        <v>6</v>
      </c>
      <c r="I15" s="17">
        <f>RULES_BASIC!$H$9</f>
        <v>158.39999999999998</v>
      </c>
    </row>
    <row r="16" spans="1:9" x14ac:dyDescent="0.25">
      <c r="A16" s="15" t="s">
        <v>51</v>
      </c>
      <c r="B16" s="15" t="s">
        <v>56</v>
      </c>
      <c r="C16" s="16">
        <f>RULES_RECOMM!$G$10</f>
        <v>1</v>
      </c>
      <c r="D16" s="17">
        <f>RULES_RECOMM!$H$10</f>
        <v>92.4</v>
      </c>
      <c r="F16" s="15" t="s">
        <v>51</v>
      </c>
      <c r="G16" s="15" t="s">
        <v>56</v>
      </c>
      <c r="H16" s="16">
        <f>RULES_BASIC!$G$10</f>
        <v>1</v>
      </c>
      <c r="I16" s="17">
        <f>RULES_BASIC!$H$10</f>
        <v>92.4</v>
      </c>
    </row>
    <row r="17" spans="1:9" x14ac:dyDescent="0.25">
      <c r="A17" s="15" t="s">
        <v>58</v>
      </c>
      <c r="B17" s="15" t="s">
        <v>59</v>
      </c>
      <c r="C17" s="16">
        <f>RULES_RECOMM!$G$11</f>
        <v>1</v>
      </c>
      <c r="D17" s="17">
        <f>RULES_RECOMM!$H$11</f>
        <v>105.6</v>
      </c>
      <c r="F17" s="15" t="s">
        <v>58</v>
      </c>
      <c r="G17" s="15" t="s">
        <v>59</v>
      </c>
      <c r="H17" s="16">
        <f>RULES_BASIC!$G$11</f>
        <v>1</v>
      </c>
      <c r="I17" s="17">
        <f>RULES_BASIC!$H$11</f>
        <v>105.6</v>
      </c>
    </row>
    <row r="18" spans="1:9" x14ac:dyDescent="0.25">
      <c r="A18" s="15" t="s">
        <v>58</v>
      </c>
      <c r="B18" s="15" t="s">
        <v>60</v>
      </c>
      <c r="C18" s="16">
        <f>RULES_RECOMM!$G$12</f>
        <v>1</v>
      </c>
      <c r="D18" s="17">
        <f>RULES_RECOMM!$H$12</f>
        <v>13.2</v>
      </c>
      <c r="F18" s="15" t="s">
        <v>58</v>
      </c>
      <c r="G18" s="15" t="s">
        <v>60</v>
      </c>
      <c r="H18" s="16">
        <f>RULES_BASIC!$G$12</f>
        <v>1</v>
      </c>
      <c r="I18" s="17">
        <f>RULES_BASIC!$H$12</f>
        <v>13.2</v>
      </c>
    </row>
    <row r="19" spans="1:9" x14ac:dyDescent="0.25">
      <c r="A19" s="15" t="s">
        <v>58</v>
      </c>
      <c r="B19" s="15" t="s">
        <v>61</v>
      </c>
      <c r="C19" s="16">
        <f>RULES_RECOMM!$G$13</f>
        <v>1</v>
      </c>
      <c r="D19" s="17">
        <f>RULES_RECOMM!$H$13</f>
        <v>13.2</v>
      </c>
      <c r="F19" s="15" t="s">
        <v>58</v>
      </c>
      <c r="G19" s="15" t="s">
        <v>61</v>
      </c>
      <c r="H19" s="16">
        <f>RULES_BASIC!$G$13</f>
        <v>1</v>
      </c>
      <c r="I19" s="17">
        <f>RULES_BASIC!$H$13</f>
        <v>13.2</v>
      </c>
    </row>
    <row r="20" spans="1:9" x14ac:dyDescent="0.25">
      <c r="A20" s="15" t="s">
        <v>58</v>
      </c>
      <c r="B20" s="15" t="s">
        <v>62</v>
      </c>
      <c r="C20" s="16">
        <f>RULES_RECOMM!$G$14</f>
        <v>1</v>
      </c>
      <c r="D20" s="17">
        <f>RULES_RECOMM!$H$14</f>
        <v>13.2</v>
      </c>
      <c r="F20" s="15" t="s">
        <v>58</v>
      </c>
      <c r="G20" s="15" t="s">
        <v>62</v>
      </c>
      <c r="H20" s="16">
        <f>RULES_BASIC!$G$14</f>
        <v>1</v>
      </c>
      <c r="I20" s="17">
        <f>RULES_BASIC!$H$14</f>
        <v>13.2</v>
      </c>
    </row>
    <row r="21" spans="1:9" x14ac:dyDescent="0.25">
      <c r="A21" s="15" t="s">
        <v>58</v>
      </c>
      <c r="B21" s="15" t="s">
        <v>63</v>
      </c>
      <c r="C21" s="16">
        <f>RULES_RECOMM!$G$15</f>
        <v>1</v>
      </c>
      <c r="D21" s="17">
        <f>RULES_RECOMM!$H$15</f>
        <v>26.4</v>
      </c>
      <c r="F21" s="15" t="s">
        <v>58</v>
      </c>
      <c r="G21" s="15" t="s">
        <v>63</v>
      </c>
      <c r="H21" s="16">
        <f>RULES_BASIC!$G$15</f>
        <v>1</v>
      </c>
      <c r="I21" s="17">
        <f>RULES_BASIC!$H$15</f>
        <v>26.4</v>
      </c>
    </row>
    <row r="22" spans="1:9" x14ac:dyDescent="0.25">
      <c r="A22" s="15" t="s">
        <v>58</v>
      </c>
      <c r="B22" s="15" t="s">
        <v>64</v>
      </c>
      <c r="C22" s="16">
        <f>RULES_RECOMM!$G$16</f>
        <v>1</v>
      </c>
      <c r="D22" s="17">
        <f>RULES_RECOMM!$H$16</f>
        <v>26.4</v>
      </c>
      <c r="F22" s="15" t="s">
        <v>58</v>
      </c>
      <c r="G22" s="15" t="s">
        <v>64</v>
      </c>
      <c r="H22" s="16">
        <f>RULES_BASIC!$G$16</f>
        <v>1</v>
      </c>
      <c r="I22" s="17">
        <f>RULES_BASIC!$H$16</f>
        <v>26.4</v>
      </c>
    </row>
    <row r="24" spans="1:9" x14ac:dyDescent="0.25">
      <c r="C24" s="18" t="s">
        <v>77</v>
      </c>
      <c r="D24" s="19">
        <f>SUM(D10:D22)</f>
        <v>13041.6</v>
      </c>
      <c r="H24" s="18" t="s">
        <v>77</v>
      </c>
      <c r="I24" s="19">
        <f>SUM(I10:I22)</f>
        <v>12249.6</v>
      </c>
    </row>
    <row r="25" spans="1:9" x14ac:dyDescent="0.25">
      <c r="C25" s="18" t="s">
        <v>78</v>
      </c>
      <c r="D25" s="19">
        <f>D24/(1-INPUTS!$B$7)</f>
        <v>20064</v>
      </c>
      <c r="H25" s="18" t="s">
        <v>78</v>
      </c>
      <c r="I25" s="19">
        <f>I24/(1-INPUTS!$B$8)</f>
        <v>17252.957746478874</v>
      </c>
    </row>
    <row r="26" spans="1:9" x14ac:dyDescent="0.25">
      <c r="C26" s="18" t="s">
        <v>79</v>
      </c>
      <c r="D26" s="17">
        <f>D25*INPUTS!$B$7</f>
        <v>7022.4</v>
      </c>
      <c r="H26" s="18" t="s">
        <v>79</v>
      </c>
      <c r="I26" s="17">
        <f>I25*INPUTS!$B$8</f>
        <v>5003.3577464788732</v>
      </c>
    </row>
    <row r="27" spans="1:9" x14ac:dyDescent="0.25">
      <c r="C27" s="18" t="s">
        <v>80</v>
      </c>
      <c r="D27" s="20">
        <f>IF($B$4=0,"",D25/$B$4)</f>
        <v>25.08</v>
      </c>
      <c r="H27" s="18" t="s">
        <v>80</v>
      </c>
      <c r="I27" s="20">
        <f>IF($B$4=0,"",I25/$B$4)</f>
        <v>21.566197183098595</v>
      </c>
    </row>
    <row r="32" spans="1:9" ht="15.75" x14ac:dyDescent="0.25">
      <c r="A32" s="21" t="s">
        <v>81</v>
      </c>
    </row>
    <row r="33" spans="1:3" x14ac:dyDescent="0.25">
      <c r="A33" s="14" t="s">
        <v>37</v>
      </c>
      <c r="B33" s="14" t="s">
        <v>38</v>
      </c>
      <c r="C33" s="14" t="s">
        <v>82</v>
      </c>
    </row>
    <row r="34" spans="1:3" x14ac:dyDescent="0.25">
      <c r="A34" s="15" t="s">
        <v>45</v>
      </c>
      <c r="B34" s="15" t="s">
        <v>46</v>
      </c>
      <c r="C34" s="17">
        <f t="shared" ref="C34:C46" si="0">IF($B$3="Recommended",D10,I10)</f>
        <v>10560</v>
      </c>
    </row>
    <row r="35" spans="1:3" x14ac:dyDescent="0.25">
      <c r="A35" s="15" t="s">
        <v>48</v>
      </c>
      <c r="B35" s="15" t="s">
        <v>49</v>
      </c>
      <c r="C35" s="17">
        <f t="shared" si="0"/>
        <v>1584</v>
      </c>
    </row>
    <row r="36" spans="1:3" x14ac:dyDescent="0.25">
      <c r="A36" s="15" t="s">
        <v>51</v>
      </c>
      <c r="B36" s="15" t="s">
        <v>52</v>
      </c>
      <c r="C36" s="17">
        <f t="shared" si="0"/>
        <v>198</v>
      </c>
    </row>
    <row r="37" spans="1:3" x14ac:dyDescent="0.25">
      <c r="A37" s="15" t="s">
        <v>51</v>
      </c>
      <c r="B37" s="15" t="s">
        <v>53</v>
      </c>
      <c r="C37" s="17">
        <f t="shared" si="0"/>
        <v>132</v>
      </c>
    </row>
    <row r="38" spans="1:3" x14ac:dyDescent="0.25">
      <c r="A38" s="15" t="s">
        <v>51</v>
      </c>
      <c r="B38" s="15" t="s">
        <v>54</v>
      </c>
      <c r="C38" s="17">
        <f t="shared" si="0"/>
        <v>118.80000000000001</v>
      </c>
    </row>
    <row r="39" spans="1:3" x14ac:dyDescent="0.25">
      <c r="A39" s="15" t="s">
        <v>51</v>
      </c>
      <c r="B39" s="15" t="s">
        <v>55</v>
      </c>
      <c r="C39" s="17">
        <f t="shared" si="0"/>
        <v>158.39999999999998</v>
      </c>
    </row>
    <row r="40" spans="1:3" x14ac:dyDescent="0.25">
      <c r="A40" s="15" t="s">
        <v>51</v>
      </c>
      <c r="B40" s="15" t="s">
        <v>56</v>
      </c>
      <c r="C40" s="17">
        <f t="shared" si="0"/>
        <v>92.4</v>
      </c>
    </row>
    <row r="41" spans="1:3" x14ac:dyDescent="0.25">
      <c r="A41" s="15" t="s">
        <v>58</v>
      </c>
      <c r="B41" s="15" t="s">
        <v>59</v>
      </c>
      <c r="C41" s="17">
        <f t="shared" si="0"/>
        <v>105.6</v>
      </c>
    </row>
    <row r="42" spans="1:3" x14ac:dyDescent="0.25">
      <c r="A42" s="15" t="s">
        <v>58</v>
      </c>
      <c r="B42" s="15" t="s">
        <v>60</v>
      </c>
      <c r="C42" s="17">
        <f t="shared" si="0"/>
        <v>13.2</v>
      </c>
    </row>
    <row r="43" spans="1:3" x14ac:dyDescent="0.25">
      <c r="A43" s="15" t="s">
        <v>58</v>
      </c>
      <c r="B43" s="15" t="s">
        <v>61</v>
      </c>
      <c r="C43" s="17">
        <f t="shared" si="0"/>
        <v>13.2</v>
      </c>
    </row>
    <row r="44" spans="1:3" x14ac:dyDescent="0.25">
      <c r="A44" s="15" t="s">
        <v>58</v>
      </c>
      <c r="B44" s="15" t="s">
        <v>62</v>
      </c>
      <c r="C44" s="17">
        <f t="shared" si="0"/>
        <v>13.2</v>
      </c>
    </row>
    <row r="45" spans="1:3" x14ac:dyDescent="0.25">
      <c r="A45" s="15" t="s">
        <v>58</v>
      </c>
      <c r="B45" s="15" t="s">
        <v>63</v>
      </c>
      <c r="C45" s="17">
        <f t="shared" si="0"/>
        <v>26.4</v>
      </c>
    </row>
    <row r="46" spans="1:3" x14ac:dyDescent="0.25">
      <c r="A46" s="15" t="s">
        <v>58</v>
      </c>
      <c r="B46" s="15" t="s">
        <v>64</v>
      </c>
      <c r="C46" s="17">
        <f t="shared" si="0"/>
        <v>26.4</v>
      </c>
    </row>
    <row r="47" spans="1:3" x14ac:dyDescent="0.25">
      <c r="A47" s="15" t="s">
        <v>65</v>
      </c>
      <c r="B47" s="15" t="s">
        <v>66</v>
      </c>
      <c r="C47" s="17">
        <f>IF($B$3="Recommended",D26,I26)</f>
        <v>7022.4</v>
      </c>
    </row>
    <row r="49" spans="2:3" x14ac:dyDescent="0.25">
      <c r="B49" s="18" t="s">
        <v>83</v>
      </c>
      <c r="C49" s="19">
        <f>IF($B$3="Recommended",D25,I25)</f>
        <v>20064</v>
      </c>
    </row>
    <row r="50" spans="2:3" x14ac:dyDescent="0.25">
      <c r="B50" s="18" t="s">
        <v>84</v>
      </c>
      <c r="C50" s="20">
        <f>IF($B$3="Recommended",D27,I27)</f>
        <v>25.08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3"/>
  <sheetViews>
    <sheetView showGridLines="0" workbookViewId="0">
      <selection activeCell="C4" sqref="C4"/>
    </sheetView>
  </sheetViews>
  <sheetFormatPr defaultRowHeight="15" x14ac:dyDescent="0.25"/>
  <cols>
    <col min="1" max="7" width="14" customWidth="1"/>
    <col min="8" max="8" width="12" customWidth="1"/>
    <col min="9" max="9" width="14" customWidth="1"/>
    <col min="10" max="15" width="12" customWidth="1"/>
    <col min="16" max="18" width="14" customWidth="1"/>
    <col min="19" max="19" width="10" customWidth="1"/>
  </cols>
  <sheetData>
    <row r="1" spans="1:19" ht="17.25" x14ac:dyDescent="0.3">
      <c r="A1" s="4" t="s">
        <v>85</v>
      </c>
    </row>
    <row r="2" spans="1:19" x14ac:dyDescent="0.25">
      <c r="A2" t="s">
        <v>36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</row>
    <row r="3" spans="1:19" ht="30" x14ac:dyDescent="0.25">
      <c r="A3" s="14" t="s">
        <v>86</v>
      </c>
      <c r="B3" s="14" t="s">
        <v>13</v>
      </c>
      <c r="C3" s="14" t="s">
        <v>46</v>
      </c>
      <c r="D3" s="14" t="s">
        <v>49</v>
      </c>
      <c r="E3" s="14" t="s">
        <v>52</v>
      </c>
      <c r="F3" s="14" t="s">
        <v>53</v>
      </c>
      <c r="G3" s="14" t="s">
        <v>54</v>
      </c>
      <c r="H3" s="14" t="s">
        <v>87</v>
      </c>
      <c r="I3" s="14" t="s">
        <v>56</v>
      </c>
      <c r="J3" s="14" t="s">
        <v>59</v>
      </c>
      <c r="K3" s="14" t="s">
        <v>60</v>
      </c>
      <c r="L3" s="14" t="s">
        <v>61</v>
      </c>
      <c r="M3" s="14" t="s">
        <v>88</v>
      </c>
      <c r="N3" s="14" t="s">
        <v>89</v>
      </c>
      <c r="O3" s="14" t="s">
        <v>90</v>
      </c>
      <c r="P3" s="14" t="s">
        <v>91</v>
      </c>
      <c r="Q3" s="14" t="s">
        <v>92</v>
      </c>
      <c r="R3" s="14" t="s">
        <v>93</v>
      </c>
      <c r="S3" s="14" t="s">
        <v>94</v>
      </c>
    </row>
    <row r="4" spans="1:19" ht="30" x14ac:dyDescent="0.25">
      <c r="A4" s="22">
        <v>100</v>
      </c>
      <c r="B4" s="23" t="s">
        <v>14</v>
      </c>
      <c r="C4" s="24">
        <f t="shared" ref="C4:C17" si="0">26.4*CEILING($A4/2,1)</f>
        <v>1320</v>
      </c>
      <c r="D4" s="24">
        <f t="shared" ref="D4:D17" si="1">39.6*CEILING($A4/20,1)</f>
        <v>198</v>
      </c>
      <c r="E4" s="24">
        <f t="shared" ref="E4:E17" si="2">66*CEILING($A4/330,1)</f>
        <v>66</v>
      </c>
      <c r="F4" s="24">
        <f t="shared" ref="F4:F17" si="3">26.4*CEILING($A4/180,1)</f>
        <v>26.4</v>
      </c>
      <c r="G4" s="24">
        <f t="shared" ref="G4:G17" si="4">39.6*CEILING($A4/300,1)</f>
        <v>39.6</v>
      </c>
      <c r="H4" s="24">
        <f t="shared" ref="H4:H17" si="5">26.4*CEILING($A4/150,1)</f>
        <v>26.4</v>
      </c>
      <c r="I4" s="24">
        <f t="shared" ref="I4:I17" si="6">92.4</f>
        <v>92.4</v>
      </c>
      <c r="J4" s="24">
        <f t="shared" ref="J4:J17" si="7">105.6</f>
        <v>105.6</v>
      </c>
      <c r="K4" s="24">
        <f t="shared" ref="K4:M17" si="8">13.2</f>
        <v>13.2</v>
      </c>
      <c r="L4" s="24">
        <f t="shared" si="8"/>
        <v>13.2</v>
      </c>
      <c r="M4" s="24">
        <f t="shared" si="8"/>
        <v>13.2</v>
      </c>
      <c r="N4" s="24">
        <f t="shared" ref="N4:O17" si="9">26.4</f>
        <v>26.4</v>
      </c>
      <c r="O4" s="24">
        <f t="shared" si="9"/>
        <v>26.4</v>
      </c>
      <c r="P4" s="24">
        <f t="shared" ref="P4:P17" si="10">SUM(C4:O4)</f>
        <v>1966.8000000000004</v>
      </c>
      <c r="Q4" s="24">
        <f>P4/(1-INPUTS!$B$7)</f>
        <v>3025.8461538461543</v>
      </c>
      <c r="R4" s="24">
        <f>Q4*INPUTS!$B$7</f>
        <v>1059.0461538461539</v>
      </c>
      <c r="S4" s="25">
        <f t="shared" ref="S4:S17" si="11">Q4/$A4</f>
        <v>30.258461538461543</v>
      </c>
    </row>
    <row r="5" spans="1:19" ht="30" x14ac:dyDescent="0.25">
      <c r="A5" s="22">
        <v>200</v>
      </c>
      <c r="B5" s="23" t="s">
        <v>14</v>
      </c>
      <c r="C5" s="24">
        <f t="shared" si="0"/>
        <v>2640</v>
      </c>
      <c r="D5" s="24">
        <f t="shared" si="1"/>
        <v>396</v>
      </c>
      <c r="E5" s="24">
        <f t="shared" si="2"/>
        <v>66</v>
      </c>
      <c r="F5" s="24">
        <f t="shared" si="3"/>
        <v>52.8</v>
      </c>
      <c r="G5" s="24">
        <f t="shared" si="4"/>
        <v>39.6</v>
      </c>
      <c r="H5" s="24">
        <f t="shared" si="5"/>
        <v>52.8</v>
      </c>
      <c r="I5" s="24">
        <f t="shared" si="6"/>
        <v>92.4</v>
      </c>
      <c r="J5" s="24">
        <f t="shared" si="7"/>
        <v>105.6</v>
      </c>
      <c r="K5" s="24">
        <f t="shared" si="8"/>
        <v>13.2</v>
      </c>
      <c r="L5" s="24">
        <f t="shared" si="8"/>
        <v>13.2</v>
      </c>
      <c r="M5" s="24">
        <f t="shared" si="8"/>
        <v>13.2</v>
      </c>
      <c r="N5" s="24">
        <f t="shared" si="9"/>
        <v>26.4</v>
      </c>
      <c r="O5" s="24">
        <f t="shared" si="9"/>
        <v>26.4</v>
      </c>
      <c r="P5" s="24">
        <f t="shared" si="10"/>
        <v>3537.6</v>
      </c>
      <c r="Q5" s="24">
        <f>P5/(1-INPUTS!$B$7)</f>
        <v>5442.4615384615381</v>
      </c>
      <c r="R5" s="24">
        <f>Q5*INPUTS!$B$7</f>
        <v>1904.8615384615382</v>
      </c>
      <c r="S5" s="25">
        <f t="shared" si="11"/>
        <v>27.212307692307689</v>
      </c>
    </row>
    <row r="6" spans="1:19" ht="30" x14ac:dyDescent="0.25">
      <c r="A6" s="22">
        <v>300</v>
      </c>
      <c r="B6" s="23" t="s">
        <v>14</v>
      </c>
      <c r="C6" s="24">
        <f t="shared" si="0"/>
        <v>3960</v>
      </c>
      <c r="D6" s="24">
        <f t="shared" si="1"/>
        <v>594</v>
      </c>
      <c r="E6" s="24">
        <f t="shared" si="2"/>
        <v>66</v>
      </c>
      <c r="F6" s="24">
        <f t="shared" si="3"/>
        <v>52.8</v>
      </c>
      <c r="G6" s="24">
        <f t="shared" si="4"/>
        <v>39.6</v>
      </c>
      <c r="H6" s="24">
        <f t="shared" si="5"/>
        <v>52.8</v>
      </c>
      <c r="I6" s="24">
        <f t="shared" si="6"/>
        <v>92.4</v>
      </c>
      <c r="J6" s="24">
        <f t="shared" si="7"/>
        <v>105.6</v>
      </c>
      <c r="K6" s="24">
        <f t="shared" si="8"/>
        <v>13.2</v>
      </c>
      <c r="L6" s="24">
        <f t="shared" si="8"/>
        <v>13.2</v>
      </c>
      <c r="M6" s="24">
        <f t="shared" si="8"/>
        <v>13.2</v>
      </c>
      <c r="N6" s="24">
        <f t="shared" si="9"/>
        <v>26.4</v>
      </c>
      <c r="O6" s="24">
        <f t="shared" si="9"/>
        <v>26.4</v>
      </c>
      <c r="P6" s="24">
        <f t="shared" si="10"/>
        <v>5055.5999999999995</v>
      </c>
      <c r="Q6" s="24">
        <f>P6/(1-INPUTS!$B$7)</f>
        <v>7777.8461538461524</v>
      </c>
      <c r="R6" s="24">
        <f>Q6*INPUTS!$B$7</f>
        <v>2722.246153846153</v>
      </c>
      <c r="S6" s="25">
        <f t="shared" si="11"/>
        <v>25.926153846153841</v>
      </c>
    </row>
    <row r="7" spans="1:19" ht="30" x14ac:dyDescent="0.25">
      <c r="A7" s="22">
        <v>400</v>
      </c>
      <c r="B7" s="23" t="s">
        <v>14</v>
      </c>
      <c r="C7" s="24">
        <f t="shared" si="0"/>
        <v>5280</v>
      </c>
      <c r="D7" s="24">
        <f t="shared" si="1"/>
        <v>792</v>
      </c>
      <c r="E7" s="24">
        <f t="shared" si="2"/>
        <v>132</v>
      </c>
      <c r="F7" s="24">
        <f t="shared" si="3"/>
        <v>79.199999999999989</v>
      </c>
      <c r="G7" s="24">
        <f t="shared" si="4"/>
        <v>79.2</v>
      </c>
      <c r="H7" s="24">
        <f t="shared" si="5"/>
        <v>79.199999999999989</v>
      </c>
      <c r="I7" s="24">
        <f t="shared" si="6"/>
        <v>92.4</v>
      </c>
      <c r="J7" s="24">
        <f t="shared" si="7"/>
        <v>105.6</v>
      </c>
      <c r="K7" s="24">
        <f t="shared" si="8"/>
        <v>13.2</v>
      </c>
      <c r="L7" s="24">
        <f t="shared" si="8"/>
        <v>13.2</v>
      </c>
      <c r="M7" s="24">
        <f t="shared" si="8"/>
        <v>13.2</v>
      </c>
      <c r="N7" s="24">
        <f t="shared" si="9"/>
        <v>26.4</v>
      </c>
      <c r="O7" s="24">
        <f t="shared" si="9"/>
        <v>26.4</v>
      </c>
      <c r="P7" s="24">
        <f t="shared" si="10"/>
        <v>6731.9999999999982</v>
      </c>
      <c r="Q7" s="24">
        <f>P7/(1-INPUTS!$B$7)</f>
        <v>10356.923076923074</v>
      </c>
      <c r="R7" s="24">
        <f>Q7*INPUTS!$B$7</f>
        <v>3624.9230769230758</v>
      </c>
      <c r="S7" s="25">
        <f t="shared" si="11"/>
        <v>25.892307692307686</v>
      </c>
    </row>
    <row r="8" spans="1:19" ht="30" x14ac:dyDescent="0.25">
      <c r="A8" s="22">
        <v>500</v>
      </c>
      <c r="B8" s="23" t="s">
        <v>14</v>
      </c>
      <c r="C8" s="24">
        <f t="shared" si="0"/>
        <v>6600</v>
      </c>
      <c r="D8" s="24">
        <f t="shared" si="1"/>
        <v>990</v>
      </c>
      <c r="E8" s="24">
        <f t="shared" si="2"/>
        <v>132</v>
      </c>
      <c r="F8" s="24">
        <f t="shared" si="3"/>
        <v>79.199999999999989</v>
      </c>
      <c r="G8" s="24">
        <f t="shared" si="4"/>
        <v>79.2</v>
      </c>
      <c r="H8" s="24">
        <f t="shared" si="5"/>
        <v>105.6</v>
      </c>
      <c r="I8" s="24">
        <f t="shared" si="6"/>
        <v>92.4</v>
      </c>
      <c r="J8" s="24">
        <f t="shared" si="7"/>
        <v>105.6</v>
      </c>
      <c r="K8" s="24">
        <f t="shared" si="8"/>
        <v>13.2</v>
      </c>
      <c r="L8" s="24">
        <f t="shared" si="8"/>
        <v>13.2</v>
      </c>
      <c r="M8" s="24">
        <f t="shared" si="8"/>
        <v>13.2</v>
      </c>
      <c r="N8" s="24">
        <f t="shared" si="9"/>
        <v>26.4</v>
      </c>
      <c r="O8" s="24">
        <f t="shared" si="9"/>
        <v>26.4</v>
      </c>
      <c r="P8" s="24">
        <f t="shared" si="10"/>
        <v>8276.4000000000015</v>
      </c>
      <c r="Q8" s="24">
        <f>P8/(1-INPUTS!$B$7)</f>
        <v>12732.923076923078</v>
      </c>
      <c r="R8" s="24">
        <f>Q8*INPUTS!$B$7</f>
        <v>4456.5230769230766</v>
      </c>
      <c r="S8" s="25">
        <f t="shared" si="11"/>
        <v>25.465846153846154</v>
      </c>
    </row>
    <row r="9" spans="1:19" ht="30" x14ac:dyDescent="0.25">
      <c r="A9" s="22">
        <v>600</v>
      </c>
      <c r="B9" s="23" t="s">
        <v>14</v>
      </c>
      <c r="C9" s="24">
        <f t="shared" si="0"/>
        <v>7920</v>
      </c>
      <c r="D9" s="24">
        <f t="shared" si="1"/>
        <v>1188</v>
      </c>
      <c r="E9" s="24">
        <f t="shared" si="2"/>
        <v>132</v>
      </c>
      <c r="F9" s="24">
        <f t="shared" si="3"/>
        <v>105.6</v>
      </c>
      <c r="G9" s="24">
        <f t="shared" si="4"/>
        <v>79.2</v>
      </c>
      <c r="H9" s="24">
        <f t="shared" si="5"/>
        <v>105.6</v>
      </c>
      <c r="I9" s="24">
        <f t="shared" si="6"/>
        <v>92.4</v>
      </c>
      <c r="J9" s="24">
        <f t="shared" si="7"/>
        <v>105.6</v>
      </c>
      <c r="K9" s="24">
        <f t="shared" si="8"/>
        <v>13.2</v>
      </c>
      <c r="L9" s="24">
        <f t="shared" si="8"/>
        <v>13.2</v>
      </c>
      <c r="M9" s="24">
        <f t="shared" si="8"/>
        <v>13.2</v>
      </c>
      <c r="N9" s="24">
        <f t="shared" si="9"/>
        <v>26.4</v>
      </c>
      <c r="O9" s="24">
        <f t="shared" si="9"/>
        <v>26.4</v>
      </c>
      <c r="P9" s="24">
        <f t="shared" si="10"/>
        <v>9820.8000000000029</v>
      </c>
      <c r="Q9" s="24">
        <f>P9/(1-INPUTS!$B$7)</f>
        <v>15108.923076923082</v>
      </c>
      <c r="R9" s="24">
        <f>Q9*INPUTS!$B$7</f>
        <v>5288.1230769230779</v>
      </c>
      <c r="S9" s="25">
        <f t="shared" si="11"/>
        <v>25.181538461538469</v>
      </c>
    </row>
    <row r="10" spans="1:19" ht="30" x14ac:dyDescent="0.25">
      <c r="A10" s="22">
        <v>700</v>
      </c>
      <c r="B10" s="23" t="s">
        <v>14</v>
      </c>
      <c r="C10" s="24">
        <f t="shared" si="0"/>
        <v>9240</v>
      </c>
      <c r="D10" s="24">
        <f t="shared" si="1"/>
        <v>1386</v>
      </c>
      <c r="E10" s="24">
        <f t="shared" si="2"/>
        <v>198</v>
      </c>
      <c r="F10" s="24">
        <f t="shared" si="3"/>
        <v>105.6</v>
      </c>
      <c r="G10" s="24">
        <f t="shared" si="4"/>
        <v>118.80000000000001</v>
      </c>
      <c r="H10" s="24">
        <f t="shared" si="5"/>
        <v>132</v>
      </c>
      <c r="I10" s="24">
        <f t="shared" si="6"/>
        <v>92.4</v>
      </c>
      <c r="J10" s="24">
        <f t="shared" si="7"/>
        <v>105.6</v>
      </c>
      <c r="K10" s="24">
        <f t="shared" si="8"/>
        <v>13.2</v>
      </c>
      <c r="L10" s="24">
        <f t="shared" si="8"/>
        <v>13.2</v>
      </c>
      <c r="M10" s="24">
        <f t="shared" si="8"/>
        <v>13.2</v>
      </c>
      <c r="N10" s="24">
        <f t="shared" si="9"/>
        <v>26.4</v>
      </c>
      <c r="O10" s="24">
        <f t="shared" si="9"/>
        <v>26.4</v>
      </c>
      <c r="P10" s="24">
        <f t="shared" si="10"/>
        <v>11470.800000000001</v>
      </c>
      <c r="Q10" s="24">
        <f>P10/(1-INPUTS!$B$7)</f>
        <v>17647.384615384617</v>
      </c>
      <c r="R10" s="24">
        <f>Q10*INPUTS!$B$7</f>
        <v>6176.584615384616</v>
      </c>
      <c r="S10" s="25">
        <f t="shared" si="11"/>
        <v>25.210549450549454</v>
      </c>
    </row>
    <row r="11" spans="1:19" ht="30" x14ac:dyDescent="0.25">
      <c r="A11" s="22">
        <v>800</v>
      </c>
      <c r="B11" s="23" t="s">
        <v>14</v>
      </c>
      <c r="C11" s="24">
        <f t="shared" si="0"/>
        <v>10560</v>
      </c>
      <c r="D11" s="24">
        <f t="shared" si="1"/>
        <v>1584</v>
      </c>
      <c r="E11" s="24">
        <f t="shared" si="2"/>
        <v>198</v>
      </c>
      <c r="F11" s="24">
        <f t="shared" si="3"/>
        <v>132</v>
      </c>
      <c r="G11" s="24">
        <f t="shared" si="4"/>
        <v>118.80000000000001</v>
      </c>
      <c r="H11" s="24">
        <f t="shared" si="5"/>
        <v>158.39999999999998</v>
      </c>
      <c r="I11" s="24">
        <f t="shared" si="6"/>
        <v>92.4</v>
      </c>
      <c r="J11" s="24">
        <f t="shared" si="7"/>
        <v>105.6</v>
      </c>
      <c r="K11" s="24">
        <f t="shared" si="8"/>
        <v>13.2</v>
      </c>
      <c r="L11" s="24">
        <f t="shared" si="8"/>
        <v>13.2</v>
      </c>
      <c r="M11" s="24">
        <f t="shared" si="8"/>
        <v>13.2</v>
      </c>
      <c r="N11" s="24">
        <f t="shared" si="9"/>
        <v>26.4</v>
      </c>
      <c r="O11" s="24">
        <f t="shared" si="9"/>
        <v>26.4</v>
      </c>
      <c r="P11" s="24">
        <f t="shared" si="10"/>
        <v>13041.6</v>
      </c>
      <c r="Q11" s="24">
        <f>P11/(1-INPUTS!$B$7)</f>
        <v>20064</v>
      </c>
      <c r="R11" s="24">
        <f>Q11*INPUTS!$B$7</f>
        <v>7022.4</v>
      </c>
      <c r="S11" s="25">
        <f t="shared" si="11"/>
        <v>25.08</v>
      </c>
    </row>
    <row r="12" spans="1:19" ht="30" x14ac:dyDescent="0.25">
      <c r="A12" s="22">
        <v>900</v>
      </c>
      <c r="B12" s="23" t="s">
        <v>14</v>
      </c>
      <c r="C12" s="24">
        <f t="shared" si="0"/>
        <v>11880</v>
      </c>
      <c r="D12" s="24">
        <f t="shared" si="1"/>
        <v>1782</v>
      </c>
      <c r="E12" s="24">
        <f t="shared" si="2"/>
        <v>198</v>
      </c>
      <c r="F12" s="24">
        <f t="shared" si="3"/>
        <v>132</v>
      </c>
      <c r="G12" s="24">
        <f t="shared" si="4"/>
        <v>118.80000000000001</v>
      </c>
      <c r="H12" s="24">
        <f t="shared" si="5"/>
        <v>158.39999999999998</v>
      </c>
      <c r="I12" s="24">
        <f t="shared" si="6"/>
        <v>92.4</v>
      </c>
      <c r="J12" s="24">
        <f t="shared" si="7"/>
        <v>105.6</v>
      </c>
      <c r="K12" s="24">
        <f t="shared" si="8"/>
        <v>13.2</v>
      </c>
      <c r="L12" s="24">
        <f t="shared" si="8"/>
        <v>13.2</v>
      </c>
      <c r="M12" s="24">
        <f t="shared" si="8"/>
        <v>13.2</v>
      </c>
      <c r="N12" s="24">
        <f t="shared" si="9"/>
        <v>26.4</v>
      </c>
      <c r="O12" s="24">
        <f t="shared" si="9"/>
        <v>26.4</v>
      </c>
      <c r="P12" s="24">
        <f t="shared" si="10"/>
        <v>14559.6</v>
      </c>
      <c r="Q12" s="24">
        <f>P12/(1-INPUTS!$B$7)</f>
        <v>22399.384615384613</v>
      </c>
      <c r="R12" s="24">
        <f>Q12*INPUTS!$B$7</f>
        <v>7839.784615384614</v>
      </c>
      <c r="S12" s="25">
        <f t="shared" si="11"/>
        <v>24.888205128205126</v>
      </c>
    </row>
    <row r="13" spans="1:19" ht="30" x14ac:dyDescent="0.25">
      <c r="A13" s="22">
        <v>1000</v>
      </c>
      <c r="B13" s="23" t="s">
        <v>14</v>
      </c>
      <c r="C13" s="24">
        <f t="shared" si="0"/>
        <v>13200</v>
      </c>
      <c r="D13" s="24">
        <f t="shared" si="1"/>
        <v>1980</v>
      </c>
      <c r="E13" s="24">
        <f t="shared" si="2"/>
        <v>264</v>
      </c>
      <c r="F13" s="24">
        <f t="shared" si="3"/>
        <v>158.39999999999998</v>
      </c>
      <c r="G13" s="24">
        <f t="shared" si="4"/>
        <v>158.4</v>
      </c>
      <c r="H13" s="24">
        <f t="shared" si="5"/>
        <v>184.79999999999998</v>
      </c>
      <c r="I13" s="24">
        <f t="shared" si="6"/>
        <v>92.4</v>
      </c>
      <c r="J13" s="24">
        <f t="shared" si="7"/>
        <v>105.6</v>
      </c>
      <c r="K13" s="24">
        <f t="shared" si="8"/>
        <v>13.2</v>
      </c>
      <c r="L13" s="24">
        <f t="shared" si="8"/>
        <v>13.2</v>
      </c>
      <c r="M13" s="24">
        <f t="shared" si="8"/>
        <v>13.2</v>
      </c>
      <c r="N13" s="24">
        <f t="shared" si="9"/>
        <v>26.4</v>
      </c>
      <c r="O13" s="24">
        <f t="shared" si="9"/>
        <v>26.4</v>
      </c>
      <c r="P13" s="24">
        <f t="shared" si="10"/>
        <v>16236</v>
      </c>
      <c r="Q13" s="24">
        <f>P13/(1-INPUTS!$B$7)</f>
        <v>24978.461538461539</v>
      </c>
      <c r="R13" s="24">
        <f>Q13*INPUTS!$B$7</f>
        <v>8742.4615384615372</v>
      </c>
      <c r="S13" s="25">
        <f t="shared" si="11"/>
        <v>24.978461538461538</v>
      </c>
    </row>
    <row r="14" spans="1:19" ht="30" x14ac:dyDescent="0.25">
      <c r="A14" s="22">
        <v>1100</v>
      </c>
      <c r="B14" s="23" t="s">
        <v>14</v>
      </c>
      <c r="C14" s="24">
        <f t="shared" si="0"/>
        <v>14520</v>
      </c>
      <c r="D14" s="24">
        <f t="shared" si="1"/>
        <v>2178</v>
      </c>
      <c r="E14" s="24">
        <f t="shared" si="2"/>
        <v>264</v>
      </c>
      <c r="F14" s="24">
        <f t="shared" si="3"/>
        <v>184.79999999999998</v>
      </c>
      <c r="G14" s="24">
        <f t="shared" si="4"/>
        <v>158.4</v>
      </c>
      <c r="H14" s="24">
        <f t="shared" si="5"/>
        <v>211.2</v>
      </c>
      <c r="I14" s="24">
        <f t="shared" si="6"/>
        <v>92.4</v>
      </c>
      <c r="J14" s="24">
        <f t="shared" si="7"/>
        <v>105.6</v>
      </c>
      <c r="K14" s="24">
        <f t="shared" si="8"/>
        <v>13.2</v>
      </c>
      <c r="L14" s="24">
        <f t="shared" si="8"/>
        <v>13.2</v>
      </c>
      <c r="M14" s="24">
        <f t="shared" si="8"/>
        <v>13.2</v>
      </c>
      <c r="N14" s="24">
        <f t="shared" si="9"/>
        <v>26.4</v>
      </c>
      <c r="O14" s="24">
        <f t="shared" si="9"/>
        <v>26.4</v>
      </c>
      <c r="P14" s="24">
        <f t="shared" si="10"/>
        <v>17806.800000000007</v>
      </c>
      <c r="Q14" s="24">
        <f>P14/(1-INPUTS!$B$7)</f>
        <v>27395.076923076933</v>
      </c>
      <c r="R14" s="24">
        <f>Q14*INPUTS!$B$7</f>
        <v>9588.2769230769263</v>
      </c>
      <c r="S14" s="25">
        <f t="shared" si="11"/>
        <v>24.904615384615393</v>
      </c>
    </row>
    <row r="15" spans="1:19" ht="30" x14ac:dyDescent="0.25">
      <c r="A15" s="22">
        <v>1200</v>
      </c>
      <c r="B15" s="23" t="s">
        <v>14</v>
      </c>
      <c r="C15" s="24">
        <f t="shared" si="0"/>
        <v>15840</v>
      </c>
      <c r="D15" s="24">
        <f t="shared" si="1"/>
        <v>2376</v>
      </c>
      <c r="E15" s="24">
        <f t="shared" si="2"/>
        <v>264</v>
      </c>
      <c r="F15" s="24">
        <f t="shared" si="3"/>
        <v>184.79999999999998</v>
      </c>
      <c r="G15" s="24">
        <f t="shared" si="4"/>
        <v>158.4</v>
      </c>
      <c r="H15" s="24">
        <f t="shared" si="5"/>
        <v>211.2</v>
      </c>
      <c r="I15" s="24">
        <f t="shared" si="6"/>
        <v>92.4</v>
      </c>
      <c r="J15" s="24">
        <f t="shared" si="7"/>
        <v>105.6</v>
      </c>
      <c r="K15" s="24">
        <f t="shared" si="8"/>
        <v>13.2</v>
      </c>
      <c r="L15" s="24">
        <f t="shared" si="8"/>
        <v>13.2</v>
      </c>
      <c r="M15" s="24">
        <f t="shared" si="8"/>
        <v>13.2</v>
      </c>
      <c r="N15" s="24">
        <f t="shared" si="9"/>
        <v>26.4</v>
      </c>
      <c r="O15" s="24">
        <f t="shared" si="9"/>
        <v>26.4</v>
      </c>
      <c r="P15" s="24">
        <f t="shared" si="10"/>
        <v>19324.800000000007</v>
      </c>
      <c r="Q15" s="24">
        <f>P15/(1-INPUTS!$B$7)</f>
        <v>29730.461538461546</v>
      </c>
      <c r="R15" s="24">
        <f>Q15*INPUTS!$B$7</f>
        <v>10405.66153846154</v>
      </c>
      <c r="S15" s="25">
        <f t="shared" si="11"/>
        <v>24.77538461538462</v>
      </c>
    </row>
    <row r="16" spans="1:19" ht="30" x14ac:dyDescent="0.25">
      <c r="A16" s="22">
        <v>1300</v>
      </c>
      <c r="B16" s="23" t="s">
        <v>14</v>
      </c>
      <c r="C16" s="24">
        <f t="shared" si="0"/>
        <v>17160</v>
      </c>
      <c r="D16" s="24">
        <f t="shared" si="1"/>
        <v>2574</v>
      </c>
      <c r="E16" s="24">
        <f t="shared" si="2"/>
        <v>264</v>
      </c>
      <c r="F16" s="24">
        <f t="shared" si="3"/>
        <v>211.2</v>
      </c>
      <c r="G16" s="24">
        <f t="shared" si="4"/>
        <v>198</v>
      </c>
      <c r="H16" s="24">
        <f t="shared" si="5"/>
        <v>237.6</v>
      </c>
      <c r="I16" s="24">
        <f t="shared" si="6"/>
        <v>92.4</v>
      </c>
      <c r="J16" s="24">
        <f t="shared" si="7"/>
        <v>105.6</v>
      </c>
      <c r="K16" s="24">
        <f t="shared" si="8"/>
        <v>13.2</v>
      </c>
      <c r="L16" s="24">
        <f t="shared" si="8"/>
        <v>13.2</v>
      </c>
      <c r="M16" s="24">
        <f t="shared" si="8"/>
        <v>13.2</v>
      </c>
      <c r="N16" s="24">
        <f t="shared" si="9"/>
        <v>26.4</v>
      </c>
      <c r="O16" s="24">
        <f t="shared" si="9"/>
        <v>26.4</v>
      </c>
      <c r="P16" s="24">
        <f t="shared" si="10"/>
        <v>20935.200000000004</v>
      </c>
      <c r="Q16" s="24">
        <f>P16/(1-INPUTS!$B$7)</f>
        <v>32208.000000000007</v>
      </c>
      <c r="R16" s="24">
        <f>Q16*INPUTS!$B$7</f>
        <v>11272.800000000001</v>
      </c>
      <c r="S16" s="25">
        <f t="shared" si="11"/>
        <v>24.77538461538462</v>
      </c>
    </row>
    <row r="17" spans="1:19" ht="30" x14ac:dyDescent="0.25">
      <c r="A17" s="22">
        <v>1400</v>
      </c>
      <c r="B17" s="23" t="s">
        <v>14</v>
      </c>
      <c r="C17" s="24">
        <f t="shared" si="0"/>
        <v>18480</v>
      </c>
      <c r="D17" s="24">
        <f t="shared" si="1"/>
        <v>2772</v>
      </c>
      <c r="E17" s="24">
        <f t="shared" si="2"/>
        <v>330</v>
      </c>
      <c r="F17" s="24">
        <f t="shared" si="3"/>
        <v>211.2</v>
      </c>
      <c r="G17" s="24">
        <f t="shared" si="4"/>
        <v>198</v>
      </c>
      <c r="H17" s="24">
        <f t="shared" si="5"/>
        <v>264</v>
      </c>
      <c r="I17" s="24">
        <f t="shared" si="6"/>
        <v>92.4</v>
      </c>
      <c r="J17" s="24">
        <f t="shared" si="7"/>
        <v>105.6</v>
      </c>
      <c r="K17" s="24">
        <f t="shared" si="8"/>
        <v>13.2</v>
      </c>
      <c r="L17" s="24">
        <f t="shared" si="8"/>
        <v>13.2</v>
      </c>
      <c r="M17" s="24">
        <f t="shared" si="8"/>
        <v>13.2</v>
      </c>
      <c r="N17" s="24">
        <f t="shared" si="9"/>
        <v>26.4</v>
      </c>
      <c r="O17" s="24">
        <f t="shared" si="9"/>
        <v>26.4</v>
      </c>
      <c r="P17" s="24">
        <f t="shared" si="10"/>
        <v>22545.600000000006</v>
      </c>
      <c r="Q17" s="24">
        <f>P17/(1-INPUTS!$B$7)</f>
        <v>34685.538461538468</v>
      </c>
      <c r="R17" s="24">
        <f>Q17*INPUTS!$B$7</f>
        <v>12139.938461538462</v>
      </c>
      <c r="S17" s="25">
        <f t="shared" si="11"/>
        <v>24.77538461538462</v>
      </c>
    </row>
    <row r="18" spans="1:19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19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19" x14ac:dyDescent="0.25">
      <c r="A20" s="22">
        <v>100</v>
      </c>
      <c r="B20" s="23" t="s">
        <v>95</v>
      </c>
      <c r="C20" s="24">
        <f t="shared" ref="C20:C33" si="12">26.4*CEILING($A20/2,1)</f>
        <v>1320</v>
      </c>
      <c r="D20" s="24">
        <f t="shared" ref="D20:D33" si="13">39.6*CEILING($A20/40,1)</f>
        <v>118.80000000000001</v>
      </c>
      <c r="E20" s="24">
        <f t="shared" ref="E20:E33" si="14">66*CEILING($A20/330,1)</f>
        <v>66</v>
      </c>
      <c r="F20" s="24">
        <f t="shared" ref="F20:F33" si="15">26.4*CEILING($A20/180,1)</f>
        <v>26.4</v>
      </c>
      <c r="G20" s="24">
        <f t="shared" ref="G20:G33" si="16">39.6*CEILING($A20/300,1)</f>
        <v>39.6</v>
      </c>
      <c r="H20" s="24">
        <f t="shared" ref="H20:H33" si="17">26.4*CEILING($A20/150,1)</f>
        <v>26.4</v>
      </c>
      <c r="I20" s="24">
        <f t="shared" ref="I20:I33" si="18">92.4</f>
        <v>92.4</v>
      </c>
      <c r="J20" s="24">
        <f t="shared" ref="J20:J33" si="19">105.6</f>
        <v>105.6</v>
      </c>
      <c r="K20" s="24">
        <f t="shared" ref="K20:M33" si="20">13.2</f>
        <v>13.2</v>
      </c>
      <c r="L20" s="24">
        <f t="shared" si="20"/>
        <v>13.2</v>
      </c>
      <c r="M20" s="24">
        <f t="shared" si="20"/>
        <v>13.2</v>
      </c>
      <c r="N20" s="24">
        <f t="shared" ref="N20:O33" si="21">26.4</f>
        <v>26.4</v>
      </c>
      <c r="O20" s="24">
        <f t="shared" si="21"/>
        <v>26.4</v>
      </c>
      <c r="P20" s="24">
        <f t="shared" ref="P20:P33" si="22">SUM(C20:O20)</f>
        <v>1887.6000000000004</v>
      </c>
      <c r="Q20" s="24">
        <f>P20/(1-INPUTS!$B$8)</f>
        <v>2658.5915492957752</v>
      </c>
      <c r="R20" s="24">
        <f>Q20*INPUTS!$B$8</f>
        <v>770.99154929577469</v>
      </c>
      <c r="S20" s="25">
        <f t="shared" ref="S20:S33" si="23">Q20/$A20</f>
        <v>26.585915492957753</v>
      </c>
    </row>
    <row r="21" spans="1:19" x14ac:dyDescent="0.25">
      <c r="A21" s="22">
        <v>200</v>
      </c>
      <c r="B21" s="23" t="s">
        <v>95</v>
      </c>
      <c r="C21" s="24">
        <f t="shared" si="12"/>
        <v>2640</v>
      </c>
      <c r="D21" s="24">
        <f t="shared" si="13"/>
        <v>198</v>
      </c>
      <c r="E21" s="24">
        <f t="shared" si="14"/>
        <v>66</v>
      </c>
      <c r="F21" s="24">
        <f t="shared" si="15"/>
        <v>52.8</v>
      </c>
      <c r="G21" s="24">
        <f t="shared" si="16"/>
        <v>39.6</v>
      </c>
      <c r="H21" s="24">
        <f t="shared" si="17"/>
        <v>52.8</v>
      </c>
      <c r="I21" s="24">
        <f t="shared" si="18"/>
        <v>92.4</v>
      </c>
      <c r="J21" s="24">
        <f t="shared" si="19"/>
        <v>105.6</v>
      </c>
      <c r="K21" s="24">
        <f t="shared" si="20"/>
        <v>13.2</v>
      </c>
      <c r="L21" s="24">
        <f t="shared" si="20"/>
        <v>13.2</v>
      </c>
      <c r="M21" s="24">
        <f t="shared" si="20"/>
        <v>13.2</v>
      </c>
      <c r="N21" s="24">
        <f t="shared" si="21"/>
        <v>26.4</v>
      </c>
      <c r="O21" s="24">
        <f t="shared" si="21"/>
        <v>26.4</v>
      </c>
      <c r="P21" s="24">
        <f t="shared" si="22"/>
        <v>3339.6</v>
      </c>
      <c r="Q21" s="24">
        <f>P21/(1-INPUTS!$B$8)</f>
        <v>4703.6619718309857</v>
      </c>
      <c r="R21" s="24">
        <f>Q21*INPUTS!$B$8</f>
        <v>1364.0619718309858</v>
      </c>
      <c r="S21" s="25">
        <f t="shared" si="23"/>
        <v>23.518309859154929</v>
      </c>
    </row>
    <row r="22" spans="1:19" x14ac:dyDescent="0.25">
      <c r="A22" s="22">
        <v>300</v>
      </c>
      <c r="B22" s="23" t="s">
        <v>95</v>
      </c>
      <c r="C22" s="24">
        <f t="shared" si="12"/>
        <v>3960</v>
      </c>
      <c r="D22" s="24">
        <f t="shared" si="13"/>
        <v>316.8</v>
      </c>
      <c r="E22" s="24">
        <f t="shared" si="14"/>
        <v>66</v>
      </c>
      <c r="F22" s="24">
        <f t="shared" si="15"/>
        <v>52.8</v>
      </c>
      <c r="G22" s="24">
        <f t="shared" si="16"/>
        <v>39.6</v>
      </c>
      <c r="H22" s="24">
        <f t="shared" si="17"/>
        <v>52.8</v>
      </c>
      <c r="I22" s="24">
        <f t="shared" si="18"/>
        <v>92.4</v>
      </c>
      <c r="J22" s="24">
        <f t="shared" si="19"/>
        <v>105.6</v>
      </c>
      <c r="K22" s="24">
        <f t="shared" si="20"/>
        <v>13.2</v>
      </c>
      <c r="L22" s="24">
        <f t="shared" si="20"/>
        <v>13.2</v>
      </c>
      <c r="M22" s="24">
        <f t="shared" si="20"/>
        <v>13.2</v>
      </c>
      <c r="N22" s="24">
        <f t="shared" si="21"/>
        <v>26.4</v>
      </c>
      <c r="O22" s="24">
        <f t="shared" si="21"/>
        <v>26.4</v>
      </c>
      <c r="P22" s="24">
        <f t="shared" si="22"/>
        <v>4778.3999999999996</v>
      </c>
      <c r="Q22" s="24">
        <f>P22/(1-INPUTS!$B$8)</f>
        <v>6730.1408450704221</v>
      </c>
      <c r="R22" s="24">
        <f>Q22*INPUTS!$B$8</f>
        <v>1951.7408450704222</v>
      </c>
      <c r="S22" s="25">
        <f t="shared" si="23"/>
        <v>22.433802816901405</v>
      </c>
    </row>
    <row r="23" spans="1:19" x14ac:dyDescent="0.25">
      <c r="A23" s="22">
        <v>400</v>
      </c>
      <c r="B23" s="23" t="s">
        <v>95</v>
      </c>
      <c r="C23" s="24">
        <f t="shared" si="12"/>
        <v>5280</v>
      </c>
      <c r="D23" s="24">
        <f t="shared" si="13"/>
        <v>396</v>
      </c>
      <c r="E23" s="24">
        <f t="shared" si="14"/>
        <v>132</v>
      </c>
      <c r="F23" s="24">
        <f t="shared" si="15"/>
        <v>79.199999999999989</v>
      </c>
      <c r="G23" s="24">
        <f t="shared" si="16"/>
        <v>79.2</v>
      </c>
      <c r="H23" s="24">
        <f t="shared" si="17"/>
        <v>79.199999999999989</v>
      </c>
      <c r="I23" s="24">
        <f t="shared" si="18"/>
        <v>92.4</v>
      </c>
      <c r="J23" s="24">
        <f t="shared" si="19"/>
        <v>105.6</v>
      </c>
      <c r="K23" s="24">
        <f t="shared" si="20"/>
        <v>13.2</v>
      </c>
      <c r="L23" s="24">
        <f t="shared" si="20"/>
        <v>13.2</v>
      </c>
      <c r="M23" s="24">
        <f t="shared" si="20"/>
        <v>13.2</v>
      </c>
      <c r="N23" s="24">
        <f t="shared" si="21"/>
        <v>26.4</v>
      </c>
      <c r="O23" s="24">
        <f t="shared" si="21"/>
        <v>26.4</v>
      </c>
      <c r="P23" s="24">
        <f t="shared" si="22"/>
        <v>6335.9999999999982</v>
      </c>
      <c r="Q23" s="24">
        <f>P23/(1-INPUTS!$B$8)</f>
        <v>8923.943661971829</v>
      </c>
      <c r="R23" s="24">
        <f>Q23*INPUTS!$B$8</f>
        <v>2587.9436619718304</v>
      </c>
      <c r="S23" s="25">
        <f t="shared" si="23"/>
        <v>22.309859154929573</v>
      </c>
    </row>
    <row r="24" spans="1:19" x14ac:dyDescent="0.25">
      <c r="A24" s="22">
        <v>500</v>
      </c>
      <c r="B24" s="23" t="s">
        <v>95</v>
      </c>
      <c r="C24" s="24">
        <f t="shared" si="12"/>
        <v>6600</v>
      </c>
      <c r="D24" s="24">
        <f t="shared" si="13"/>
        <v>514.80000000000007</v>
      </c>
      <c r="E24" s="24">
        <f t="shared" si="14"/>
        <v>132</v>
      </c>
      <c r="F24" s="24">
        <f t="shared" si="15"/>
        <v>79.199999999999989</v>
      </c>
      <c r="G24" s="24">
        <f t="shared" si="16"/>
        <v>79.2</v>
      </c>
      <c r="H24" s="24">
        <f t="shared" si="17"/>
        <v>105.6</v>
      </c>
      <c r="I24" s="24">
        <f t="shared" si="18"/>
        <v>92.4</v>
      </c>
      <c r="J24" s="24">
        <f t="shared" si="19"/>
        <v>105.6</v>
      </c>
      <c r="K24" s="24">
        <f t="shared" si="20"/>
        <v>13.2</v>
      </c>
      <c r="L24" s="24">
        <f t="shared" si="20"/>
        <v>13.2</v>
      </c>
      <c r="M24" s="24">
        <f t="shared" si="20"/>
        <v>13.2</v>
      </c>
      <c r="N24" s="24">
        <f t="shared" si="21"/>
        <v>26.4</v>
      </c>
      <c r="O24" s="24">
        <f t="shared" si="21"/>
        <v>26.4</v>
      </c>
      <c r="P24" s="24">
        <f t="shared" si="22"/>
        <v>7801.1999999999989</v>
      </c>
      <c r="Q24" s="24">
        <f>P24/(1-INPUTS!$B$8)</f>
        <v>10987.605633802816</v>
      </c>
      <c r="R24" s="24">
        <f>Q24*INPUTS!$B$8</f>
        <v>3186.4056338028163</v>
      </c>
      <c r="S24" s="25">
        <f t="shared" si="23"/>
        <v>21.97521126760563</v>
      </c>
    </row>
    <row r="25" spans="1:19" x14ac:dyDescent="0.25">
      <c r="A25" s="22">
        <v>600</v>
      </c>
      <c r="B25" s="23" t="s">
        <v>95</v>
      </c>
      <c r="C25" s="24">
        <f t="shared" si="12"/>
        <v>7920</v>
      </c>
      <c r="D25" s="24">
        <f t="shared" si="13"/>
        <v>594</v>
      </c>
      <c r="E25" s="24">
        <f t="shared" si="14"/>
        <v>132</v>
      </c>
      <c r="F25" s="24">
        <f t="shared" si="15"/>
        <v>105.6</v>
      </c>
      <c r="G25" s="24">
        <f t="shared" si="16"/>
        <v>79.2</v>
      </c>
      <c r="H25" s="24">
        <f t="shared" si="17"/>
        <v>105.6</v>
      </c>
      <c r="I25" s="24">
        <f t="shared" si="18"/>
        <v>92.4</v>
      </c>
      <c r="J25" s="24">
        <f t="shared" si="19"/>
        <v>105.6</v>
      </c>
      <c r="K25" s="24">
        <f t="shared" si="20"/>
        <v>13.2</v>
      </c>
      <c r="L25" s="24">
        <f t="shared" si="20"/>
        <v>13.2</v>
      </c>
      <c r="M25" s="24">
        <f t="shared" si="20"/>
        <v>13.2</v>
      </c>
      <c r="N25" s="24">
        <f t="shared" si="21"/>
        <v>26.4</v>
      </c>
      <c r="O25" s="24">
        <f t="shared" si="21"/>
        <v>26.4</v>
      </c>
      <c r="P25" s="24">
        <f t="shared" si="22"/>
        <v>9226.8000000000029</v>
      </c>
      <c r="Q25" s="24">
        <f>P25/(1-INPUTS!$B$8)</f>
        <v>12995.492957746483</v>
      </c>
      <c r="R25" s="24">
        <f>Q25*INPUTS!$B$8</f>
        <v>3768.6929577464798</v>
      </c>
      <c r="S25" s="25">
        <f t="shared" si="23"/>
        <v>21.659154929577472</v>
      </c>
    </row>
    <row r="26" spans="1:19" x14ac:dyDescent="0.25">
      <c r="A26" s="22">
        <v>700</v>
      </c>
      <c r="B26" s="23" t="s">
        <v>95</v>
      </c>
      <c r="C26" s="24">
        <f t="shared" si="12"/>
        <v>9240</v>
      </c>
      <c r="D26" s="24">
        <f t="shared" si="13"/>
        <v>712.80000000000007</v>
      </c>
      <c r="E26" s="24">
        <f t="shared" si="14"/>
        <v>198</v>
      </c>
      <c r="F26" s="24">
        <f t="shared" si="15"/>
        <v>105.6</v>
      </c>
      <c r="G26" s="24">
        <f t="shared" si="16"/>
        <v>118.80000000000001</v>
      </c>
      <c r="H26" s="24">
        <f t="shared" si="17"/>
        <v>132</v>
      </c>
      <c r="I26" s="24">
        <f t="shared" si="18"/>
        <v>92.4</v>
      </c>
      <c r="J26" s="24">
        <f t="shared" si="19"/>
        <v>105.6</v>
      </c>
      <c r="K26" s="24">
        <f t="shared" si="20"/>
        <v>13.2</v>
      </c>
      <c r="L26" s="24">
        <f t="shared" si="20"/>
        <v>13.2</v>
      </c>
      <c r="M26" s="24">
        <f t="shared" si="20"/>
        <v>13.2</v>
      </c>
      <c r="N26" s="24">
        <f t="shared" si="21"/>
        <v>26.4</v>
      </c>
      <c r="O26" s="24">
        <f t="shared" si="21"/>
        <v>26.4</v>
      </c>
      <c r="P26" s="24">
        <f t="shared" si="22"/>
        <v>10797.6</v>
      </c>
      <c r="Q26" s="24">
        <f>P26/(1-INPUTS!$B$8)</f>
        <v>15207.887323943663</v>
      </c>
      <c r="R26" s="24">
        <f>Q26*INPUTS!$B$8</f>
        <v>4410.2873239436622</v>
      </c>
      <c r="S26" s="25">
        <f t="shared" si="23"/>
        <v>21.72555331991952</v>
      </c>
    </row>
    <row r="27" spans="1:19" x14ac:dyDescent="0.25">
      <c r="A27" s="22">
        <v>800</v>
      </c>
      <c r="B27" s="23" t="s">
        <v>95</v>
      </c>
      <c r="C27" s="24">
        <f t="shared" si="12"/>
        <v>10560</v>
      </c>
      <c r="D27" s="24">
        <f t="shared" si="13"/>
        <v>792</v>
      </c>
      <c r="E27" s="24">
        <f t="shared" si="14"/>
        <v>198</v>
      </c>
      <c r="F27" s="24">
        <f t="shared" si="15"/>
        <v>132</v>
      </c>
      <c r="G27" s="24">
        <f t="shared" si="16"/>
        <v>118.80000000000001</v>
      </c>
      <c r="H27" s="24">
        <f t="shared" si="17"/>
        <v>158.39999999999998</v>
      </c>
      <c r="I27" s="24">
        <f t="shared" si="18"/>
        <v>92.4</v>
      </c>
      <c r="J27" s="24">
        <f t="shared" si="19"/>
        <v>105.6</v>
      </c>
      <c r="K27" s="24">
        <f t="shared" si="20"/>
        <v>13.2</v>
      </c>
      <c r="L27" s="24">
        <f t="shared" si="20"/>
        <v>13.2</v>
      </c>
      <c r="M27" s="24">
        <f t="shared" si="20"/>
        <v>13.2</v>
      </c>
      <c r="N27" s="24">
        <f t="shared" si="21"/>
        <v>26.4</v>
      </c>
      <c r="O27" s="24">
        <f t="shared" si="21"/>
        <v>26.4</v>
      </c>
      <c r="P27" s="24">
        <f t="shared" si="22"/>
        <v>12249.6</v>
      </c>
      <c r="Q27" s="24">
        <f>P27/(1-INPUTS!$B$8)</f>
        <v>17252.957746478874</v>
      </c>
      <c r="R27" s="24">
        <f>Q27*INPUTS!$B$8</f>
        <v>5003.3577464788732</v>
      </c>
      <c r="S27" s="25">
        <f t="shared" si="23"/>
        <v>21.566197183098595</v>
      </c>
    </row>
    <row r="28" spans="1:19" x14ac:dyDescent="0.25">
      <c r="A28" s="22">
        <v>900</v>
      </c>
      <c r="B28" s="23" t="s">
        <v>95</v>
      </c>
      <c r="C28" s="24">
        <f t="shared" si="12"/>
        <v>11880</v>
      </c>
      <c r="D28" s="24">
        <f t="shared" si="13"/>
        <v>910.80000000000007</v>
      </c>
      <c r="E28" s="24">
        <f t="shared" si="14"/>
        <v>198</v>
      </c>
      <c r="F28" s="24">
        <f t="shared" si="15"/>
        <v>132</v>
      </c>
      <c r="G28" s="24">
        <f t="shared" si="16"/>
        <v>118.80000000000001</v>
      </c>
      <c r="H28" s="24">
        <f t="shared" si="17"/>
        <v>158.39999999999998</v>
      </c>
      <c r="I28" s="24">
        <f t="shared" si="18"/>
        <v>92.4</v>
      </c>
      <c r="J28" s="24">
        <f t="shared" si="19"/>
        <v>105.6</v>
      </c>
      <c r="K28" s="24">
        <f t="shared" si="20"/>
        <v>13.2</v>
      </c>
      <c r="L28" s="24">
        <f t="shared" si="20"/>
        <v>13.2</v>
      </c>
      <c r="M28" s="24">
        <f t="shared" si="20"/>
        <v>13.2</v>
      </c>
      <c r="N28" s="24">
        <f t="shared" si="21"/>
        <v>26.4</v>
      </c>
      <c r="O28" s="24">
        <f t="shared" si="21"/>
        <v>26.4</v>
      </c>
      <c r="P28" s="24">
        <f t="shared" si="22"/>
        <v>13688.4</v>
      </c>
      <c r="Q28" s="24">
        <f>P28/(1-INPUTS!$B$8)</f>
        <v>19279.436619718312</v>
      </c>
      <c r="R28" s="24">
        <f>Q28*INPUTS!$B$8</f>
        <v>5591.0366197183102</v>
      </c>
      <c r="S28" s="25">
        <f t="shared" si="23"/>
        <v>21.421596244131457</v>
      </c>
    </row>
    <row r="29" spans="1:19" x14ac:dyDescent="0.25">
      <c r="A29" s="22">
        <v>1000</v>
      </c>
      <c r="B29" s="23" t="s">
        <v>95</v>
      </c>
      <c r="C29" s="24">
        <f t="shared" si="12"/>
        <v>13200</v>
      </c>
      <c r="D29" s="24">
        <f t="shared" si="13"/>
        <v>990</v>
      </c>
      <c r="E29" s="24">
        <f t="shared" si="14"/>
        <v>264</v>
      </c>
      <c r="F29" s="24">
        <f t="shared" si="15"/>
        <v>158.39999999999998</v>
      </c>
      <c r="G29" s="24">
        <f t="shared" si="16"/>
        <v>158.4</v>
      </c>
      <c r="H29" s="24">
        <f t="shared" si="17"/>
        <v>184.79999999999998</v>
      </c>
      <c r="I29" s="24">
        <f t="shared" si="18"/>
        <v>92.4</v>
      </c>
      <c r="J29" s="24">
        <f t="shared" si="19"/>
        <v>105.6</v>
      </c>
      <c r="K29" s="24">
        <f t="shared" si="20"/>
        <v>13.2</v>
      </c>
      <c r="L29" s="24">
        <f t="shared" si="20"/>
        <v>13.2</v>
      </c>
      <c r="M29" s="24">
        <f t="shared" si="20"/>
        <v>13.2</v>
      </c>
      <c r="N29" s="24">
        <f t="shared" si="21"/>
        <v>26.4</v>
      </c>
      <c r="O29" s="24">
        <f t="shared" si="21"/>
        <v>26.4</v>
      </c>
      <c r="P29" s="24">
        <f t="shared" si="22"/>
        <v>15246</v>
      </c>
      <c r="Q29" s="24">
        <f>P29/(1-INPUTS!$B$8)</f>
        <v>21473.239436619719</v>
      </c>
      <c r="R29" s="24">
        <f>Q29*INPUTS!$B$8</f>
        <v>6227.2394366197177</v>
      </c>
      <c r="S29" s="25">
        <f t="shared" si="23"/>
        <v>21.473239436619718</v>
      </c>
    </row>
    <row r="30" spans="1:19" x14ac:dyDescent="0.25">
      <c r="A30" s="22">
        <v>1100</v>
      </c>
      <c r="B30" s="23" t="s">
        <v>95</v>
      </c>
      <c r="C30" s="24">
        <f t="shared" si="12"/>
        <v>14520</v>
      </c>
      <c r="D30" s="24">
        <f t="shared" si="13"/>
        <v>1108.8</v>
      </c>
      <c r="E30" s="24">
        <f t="shared" si="14"/>
        <v>264</v>
      </c>
      <c r="F30" s="24">
        <f t="shared" si="15"/>
        <v>184.79999999999998</v>
      </c>
      <c r="G30" s="24">
        <f t="shared" si="16"/>
        <v>158.4</v>
      </c>
      <c r="H30" s="24">
        <f t="shared" si="17"/>
        <v>211.2</v>
      </c>
      <c r="I30" s="24">
        <f t="shared" si="18"/>
        <v>92.4</v>
      </c>
      <c r="J30" s="24">
        <f t="shared" si="19"/>
        <v>105.6</v>
      </c>
      <c r="K30" s="24">
        <f t="shared" si="20"/>
        <v>13.2</v>
      </c>
      <c r="L30" s="24">
        <f t="shared" si="20"/>
        <v>13.2</v>
      </c>
      <c r="M30" s="24">
        <f t="shared" si="20"/>
        <v>13.2</v>
      </c>
      <c r="N30" s="24">
        <f t="shared" si="21"/>
        <v>26.4</v>
      </c>
      <c r="O30" s="24">
        <f t="shared" si="21"/>
        <v>26.4</v>
      </c>
      <c r="P30" s="24">
        <f t="shared" si="22"/>
        <v>16737.600000000002</v>
      </c>
      <c r="Q30" s="24">
        <f>P30/(1-INPUTS!$B$8)</f>
        <v>23574.084507042258</v>
      </c>
      <c r="R30" s="24">
        <f>Q30*INPUTS!$B$8</f>
        <v>6836.4845070422543</v>
      </c>
      <c r="S30" s="25">
        <f t="shared" si="23"/>
        <v>21.430985915492961</v>
      </c>
    </row>
    <row r="31" spans="1:19" x14ac:dyDescent="0.25">
      <c r="A31" s="22">
        <v>1200</v>
      </c>
      <c r="B31" s="23" t="s">
        <v>95</v>
      </c>
      <c r="C31" s="24">
        <f t="shared" si="12"/>
        <v>15840</v>
      </c>
      <c r="D31" s="24">
        <f t="shared" si="13"/>
        <v>1188</v>
      </c>
      <c r="E31" s="24">
        <f t="shared" si="14"/>
        <v>264</v>
      </c>
      <c r="F31" s="24">
        <f t="shared" si="15"/>
        <v>184.79999999999998</v>
      </c>
      <c r="G31" s="24">
        <f t="shared" si="16"/>
        <v>158.4</v>
      </c>
      <c r="H31" s="24">
        <f t="shared" si="17"/>
        <v>211.2</v>
      </c>
      <c r="I31" s="24">
        <f t="shared" si="18"/>
        <v>92.4</v>
      </c>
      <c r="J31" s="24">
        <f t="shared" si="19"/>
        <v>105.6</v>
      </c>
      <c r="K31" s="24">
        <f t="shared" si="20"/>
        <v>13.2</v>
      </c>
      <c r="L31" s="24">
        <f t="shared" si="20"/>
        <v>13.2</v>
      </c>
      <c r="M31" s="24">
        <f t="shared" si="20"/>
        <v>13.2</v>
      </c>
      <c r="N31" s="24">
        <f t="shared" si="21"/>
        <v>26.4</v>
      </c>
      <c r="O31" s="24">
        <f t="shared" si="21"/>
        <v>26.4</v>
      </c>
      <c r="P31" s="24">
        <f t="shared" si="22"/>
        <v>18136.800000000007</v>
      </c>
      <c r="Q31" s="24">
        <f>P31/(1-INPUTS!$B$8)</f>
        <v>25544.788732394376</v>
      </c>
      <c r="R31" s="24">
        <f>Q31*INPUTS!$B$8</f>
        <v>7407.9887323943685</v>
      </c>
      <c r="S31" s="25">
        <f t="shared" si="23"/>
        <v>21.287323943661981</v>
      </c>
    </row>
    <row r="32" spans="1:19" x14ac:dyDescent="0.25">
      <c r="A32" s="22">
        <v>1300</v>
      </c>
      <c r="B32" s="23" t="s">
        <v>95</v>
      </c>
      <c r="C32" s="24">
        <f t="shared" si="12"/>
        <v>17160</v>
      </c>
      <c r="D32" s="24">
        <f t="shared" si="13"/>
        <v>1306.8</v>
      </c>
      <c r="E32" s="24">
        <f t="shared" si="14"/>
        <v>264</v>
      </c>
      <c r="F32" s="24">
        <f t="shared" si="15"/>
        <v>211.2</v>
      </c>
      <c r="G32" s="24">
        <f t="shared" si="16"/>
        <v>198</v>
      </c>
      <c r="H32" s="24">
        <f t="shared" si="17"/>
        <v>237.6</v>
      </c>
      <c r="I32" s="24">
        <f t="shared" si="18"/>
        <v>92.4</v>
      </c>
      <c r="J32" s="24">
        <f t="shared" si="19"/>
        <v>105.6</v>
      </c>
      <c r="K32" s="24">
        <f t="shared" si="20"/>
        <v>13.2</v>
      </c>
      <c r="L32" s="24">
        <f t="shared" si="20"/>
        <v>13.2</v>
      </c>
      <c r="M32" s="24">
        <f t="shared" si="20"/>
        <v>13.2</v>
      </c>
      <c r="N32" s="24">
        <f t="shared" si="21"/>
        <v>26.4</v>
      </c>
      <c r="O32" s="24">
        <f t="shared" si="21"/>
        <v>26.4</v>
      </c>
      <c r="P32" s="24">
        <f t="shared" si="22"/>
        <v>19668.000000000004</v>
      </c>
      <c r="Q32" s="24">
        <f>P32/(1-INPUTS!$B$8)</f>
        <v>27701.408450704232</v>
      </c>
      <c r="R32" s="24">
        <f>Q32*INPUTS!$B$8</f>
        <v>8033.4084507042262</v>
      </c>
      <c r="S32" s="25">
        <f t="shared" si="23"/>
        <v>21.308775731310948</v>
      </c>
    </row>
    <row r="33" spans="1:19" x14ac:dyDescent="0.25">
      <c r="A33" s="22">
        <v>1400</v>
      </c>
      <c r="B33" s="23" t="s">
        <v>95</v>
      </c>
      <c r="C33" s="24">
        <f t="shared" si="12"/>
        <v>18480</v>
      </c>
      <c r="D33" s="24">
        <f t="shared" si="13"/>
        <v>1386</v>
      </c>
      <c r="E33" s="24">
        <f t="shared" si="14"/>
        <v>330</v>
      </c>
      <c r="F33" s="24">
        <f t="shared" si="15"/>
        <v>211.2</v>
      </c>
      <c r="G33" s="24">
        <f t="shared" si="16"/>
        <v>198</v>
      </c>
      <c r="H33" s="24">
        <f t="shared" si="17"/>
        <v>264</v>
      </c>
      <c r="I33" s="24">
        <f t="shared" si="18"/>
        <v>92.4</v>
      </c>
      <c r="J33" s="24">
        <f t="shared" si="19"/>
        <v>105.6</v>
      </c>
      <c r="K33" s="24">
        <f t="shared" si="20"/>
        <v>13.2</v>
      </c>
      <c r="L33" s="24">
        <f t="shared" si="20"/>
        <v>13.2</v>
      </c>
      <c r="M33" s="24">
        <f t="shared" si="20"/>
        <v>13.2</v>
      </c>
      <c r="N33" s="24">
        <f t="shared" si="21"/>
        <v>26.4</v>
      </c>
      <c r="O33" s="24">
        <f t="shared" si="21"/>
        <v>26.4</v>
      </c>
      <c r="P33" s="24">
        <f t="shared" si="22"/>
        <v>21159.600000000006</v>
      </c>
      <c r="Q33" s="24">
        <f>P33/(1-INPUTS!$B$8)</f>
        <v>29802.253521126771</v>
      </c>
      <c r="R33" s="24">
        <f>Q33*INPUTS!$B$8</f>
        <v>8642.6535211267637</v>
      </c>
      <c r="S33" s="25">
        <f t="shared" si="23"/>
        <v>21.287323943661981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README</vt:lpstr>
      <vt:lpstr>INPUTS</vt:lpstr>
      <vt:lpstr>MODULES</vt:lpstr>
      <vt:lpstr>RULES_RECOMM</vt:lpstr>
      <vt:lpstr>RULES_BASIC</vt:lpstr>
      <vt:lpstr>CALC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권찬혁</cp:lastModifiedBy>
  <dcterms:modified xsi:type="dcterms:W3CDTF">2026-01-02T04:21:40Z</dcterms:modified>
</cp:coreProperties>
</file>